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su\Desktop\Local Files\"/>
    </mc:Choice>
  </mc:AlternateContent>
  <xr:revisionPtr revIDLastSave="0" documentId="13_ncr:1_{D33B08E5-1B93-4D35-9898-29AC3B0A958D}" xr6:coauthVersionLast="47" xr6:coauthVersionMax="47" xr10:uidLastSave="{00000000-0000-0000-0000-000000000000}"/>
  <bookViews>
    <workbookView xWindow="-120" yWindow="-120" windowWidth="29040" windowHeight="15720" activeTab="3" xr2:uid="{47412CFC-7E53-4F06-9F46-2618A72633B9}"/>
  </bookViews>
  <sheets>
    <sheet name="Score Board" sheetId="1" r:id="rId1"/>
    <sheet name="Sheet2" sheetId="6" r:id="rId2"/>
    <sheet name="Leaderboard" sheetId="4" r:id="rId3"/>
    <sheet name="Extra Results" sheetId="7" r:id="rId4"/>
    <sheet name="PredictionsOLD" sheetId="2" state="hidden" r:id="rId5"/>
  </sheets>
  <definedNames>
    <definedName name="_xlnm._FilterDatabase" localSheetId="2" hidden="1">Leaderboard!$D$4:$F$11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5" i="7" l="1" a="1"/>
  <c r="V165" i="7" s="1"/>
  <c r="V164" i="7" a="1"/>
  <c r="V164" i="7" s="1"/>
  <c r="X165" i="7" a="1"/>
  <c r="X165" i="7" s="1"/>
  <c r="X164" i="7" a="1"/>
  <c r="X164" i="7" s="1"/>
  <c r="S143" i="7"/>
  <c r="S148" i="7" a="1"/>
  <c r="S148" i="7" s="1"/>
  <c r="S151" i="7" a="1"/>
  <c r="S151" i="7" s="1"/>
  <c r="R143" i="7"/>
  <c r="R148" i="7" a="1"/>
  <c r="R148" i="7" s="1"/>
  <c r="R151" i="7" a="1"/>
  <c r="R151" i="7" s="1"/>
  <c r="P148" i="7" a="1"/>
  <c r="P148" i="7" s="1"/>
  <c r="Q148" i="7" a="1"/>
  <c r="Q148" i="7" s="1"/>
  <c r="P143" i="7"/>
  <c r="Q143" i="7"/>
  <c r="P151" i="7" a="1"/>
  <c r="P151" i="7" s="1"/>
  <c r="Q151" i="7" a="1"/>
  <c r="Q151" i="7" s="1"/>
  <c r="K151" i="7" a="1"/>
  <c r="K151" i="7" s="1"/>
  <c r="X161" i="7" s="1" a="1"/>
  <c r="X161" i="7" s="1"/>
  <c r="J148" i="7" a="1"/>
  <c r="J148" i="7" s="1"/>
  <c r="V160" i="7" s="1" a="1"/>
  <c r="V160" i="7" s="1"/>
  <c r="K148" i="7" a="1"/>
  <c r="K148" i="7" s="1"/>
  <c r="V161" i="7" s="1" a="1"/>
  <c r="V161" i="7" s="1"/>
  <c r="L148" i="7" a="1"/>
  <c r="L148" i="7" s="1"/>
  <c r="V162" i="7" s="1" a="1"/>
  <c r="V162" i="7" s="1"/>
  <c r="M148" i="7" a="1"/>
  <c r="M148" i="7" s="1"/>
  <c r="V163" i="7" s="1" a="1"/>
  <c r="V163" i="7" s="1"/>
  <c r="N148" i="7" a="1"/>
  <c r="N148" i="7" s="1"/>
  <c r="O148" i="7" a="1"/>
  <c r="O148" i="7" s="1"/>
  <c r="J151" i="7" a="1"/>
  <c r="J151" i="7" s="1"/>
  <c r="X160" i="7" s="1" a="1"/>
  <c r="X160" i="7" s="1"/>
  <c r="L151" i="7" a="1"/>
  <c r="L151" i="7" s="1"/>
  <c r="X162" i="7" s="1" a="1"/>
  <c r="X162" i="7" s="1"/>
  <c r="M151" i="7" a="1"/>
  <c r="M151" i="7" s="1"/>
  <c r="X163" i="7" s="1" a="1"/>
  <c r="X163" i="7" s="1"/>
  <c r="N151" i="7" a="1"/>
  <c r="N151" i="7" s="1"/>
  <c r="O151" i="7" a="1"/>
  <c r="O151" i="7" s="1"/>
  <c r="D151" i="7" a="1"/>
  <c r="D151" i="7" s="1"/>
  <c r="X154" i="7" s="1" a="1"/>
  <c r="X154" i="7" s="1"/>
  <c r="E151" i="7" a="1"/>
  <c r="E151" i="7" s="1"/>
  <c r="X155" i="7" s="1" a="1"/>
  <c r="X155" i="7" s="1"/>
  <c r="F151" i="7" a="1"/>
  <c r="F151" i="7" s="1"/>
  <c r="X156" i="7" s="1" a="1"/>
  <c r="X156" i="7" s="1"/>
  <c r="G151" i="7" a="1"/>
  <c r="G151" i="7" s="1"/>
  <c r="X157" i="7" s="1" a="1"/>
  <c r="X157" i="7" s="1"/>
  <c r="H151" i="7" a="1"/>
  <c r="H151" i="7" s="1"/>
  <c r="X158" i="7" s="1" a="1"/>
  <c r="X158" i="7" s="1"/>
  <c r="I151" i="7" a="1"/>
  <c r="I151" i="7" s="1"/>
  <c r="X159" i="7" s="1" a="1"/>
  <c r="X159" i="7" s="1"/>
  <c r="C151" i="7" a="1"/>
  <c r="C151" i="7" s="1"/>
  <c r="X153" i="7" s="1" a="1"/>
  <c r="X153" i="7" s="1"/>
  <c r="D148" i="7" a="1"/>
  <c r="D148" i="7" s="1"/>
  <c r="V154" i="7" s="1" a="1"/>
  <c r="V154" i="7" s="1"/>
  <c r="E148" i="7" a="1"/>
  <c r="E148" i="7" s="1"/>
  <c r="V155" i="7" s="1" a="1"/>
  <c r="V155" i="7" s="1"/>
  <c r="F148" i="7" a="1"/>
  <c r="F148" i="7" s="1"/>
  <c r="V156" i="7" s="1" a="1"/>
  <c r="V156" i="7" s="1"/>
  <c r="G148" i="7" a="1"/>
  <c r="G148" i="7" s="1"/>
  <c r="V157" i="7" s="1" a="1"/>
  <c r="V157" i="7" s="1"/>
  <c r="H148" i="7" a="1"/>
  <c r="H148" i="7" s="1"/>
  <c r="V158" i="7" s="1" a="1"/>
  <c r="V158" i="7" s="1"/>
  <c r="I148" i="7" a="1"/>
  <c r="I148" i="7" s="1"/>
  <c r="V159" i="7" s="1" a="1"/>
  <c r="V159" i="7" s="1"/>
  <c r="C148" i="7" a="1"/>
  <c r="C148" i="7" s="1"/>
  <c r="V153" i="7" s="1" a="1"/>
  <c r="V153" i="7" s="1"/>
  <c r="O17" i="1" a="1"/>
  <c r="O10" i="1" a="1"/>
  <c r="O34" i="1" a="1"/>
  <c r="O19" i="1" a="1"/>
  <c r="O35" i="1" a="1"/>
  <c r="O12" i="1" a="1"/>
  <c r="O28" i="1" a="1"/>
  <c r="O39" i="1" a="1"/>
  <c r="O16" i="1" a="1"/>
  <c r="O9" i="1" a="1"/>
  <c r="O25" i="1" a="1"/>
  <c r="O33" i="1" a="1"/>
  <c r="O41" i="1" a="1"/>
  <c r="O18" i="1" a="1"/>
  <c r="O26" i="1" a="1"/>
  <c r="O11" i="1" a="1"/>
  <c r="O27" i="1" a="1"/>
  <c r="O20" i="1" a="1"/>
  <c r="O36" i="1" a="1"/>
  <c r="O31" i="1" a="1"/>
  <c r="O8" i="1" a="1"/>
  <c r="O32" i="1" a="1"/>
  <c r="O5" i="1" a="1"/>
  <c r="O13" i="1" a="1"/>
  <c r="O21" i="1" a="1"/>
  <c r="O29" i="1" a="1"/>
  <c r="O37" i="1" a="1"/>
  <c r="O6" i="1" a="1"/>
  <c r="O14" i="1" a="1"/>
  <c r="O22" i="1" a="1"/>
  <c r="O30" i="1" a="1"/>
  <c r="O38" i="1" a="1"/>
  <c r="O7" i="1" a="1"/>
  <c r="O15" i="1" a="1"/>
  <c r="O23" i="1" a="1"/>
  <c r="O24" i="1" a="1"/>
  <c r="O40" i="1" a="1"/>
  <c r="O4" i="1" a="1"/>
  <c r="M12" i="1" a="1"/>
  <c r="E8" i="7" a="1"/>
  <c r="I28" i="1" a="1"/>
  <c r="I119" i="7" a="1"/>
  <c r="F121" i="7" a="1"/>
  <c r="K31" i="7" a="1"/>
  <c r="I29" i="7" a="1"/>
  <c r="J122" i="7" a="1"/>
  <c r="O82" i="7" a="1"/>
  <c r="C4" i="7" a="1"/>
  <c r="E22" i="7" a="1"/>
  <c r="N30" i="7" a="1"/>
  <c r="K13" i="7" a="1"/>
  <c r="E25" i="7" a="1"/>
  <c r="J24" i="1" a="1"/>
  <c r="H14" i="1" a="1"/>
  <c r="G12" i="7" a="1"/>
  <c r="N88" i="7" a="1"/>
  <c r="M15" i="1" a="1"/>
  <c r="D15" i="1" a="1"/>
  <c r="C102" i="7" a="1"/>
  <c r="K121" i="7" a="1"/>
  <c r="C97" i="7" a="1"/>
  <c r="F77" i="7" a="1"/>
  <c r="I51" i="7" a="1"/>
  <c r="O79" i="7" a="1"/>
  <c r="J16" i="7" a="1"/>
  <c r="C5" i="1" a="1"/>
  <c r="L7" i="1" a="1"/>
  <c r="L60" i="7" a="1"/>
  <c r="L27" i="7" a="1"/>
  <c r="G29" i="1" a="1"/>
  <c r="O22" i="7" a="1"/>
  <c r="C29" i="1" a="1"/>
  <c r="F116" i="7" a="1"/>
  <c r="I99" i="7" a="1"/>
  <c r="N99" i="7" a="1"/>
  <c r="D12" i="1" a="1"/>
  <c r="H132" i="7" a="1"/>
  <c r="E40" i="1" a="1"/>
  <c r="M16" i="1" a="1"/>
  <c r="E19" i="7" a="1"/>
  <c r="J30" i="7" a="1"/>
  <c r="M117" i="7" a="1"/>
  <c r="G80" i="7" a="1"/>
  <c r="H63" i="7" a="1"/>
  <c r="C127" i="7" a="1"/>
  <c r="D79" i="7" a="1"/>
  <c r="E41" i="1" a="1"/>
  <c r="J127" i="7" a="1"/>
  <c r="M17" i="1" a="1"/>
  <c r="D5" i="1" a="1"/>
  <c r="L88" i="7" a="1"/>
  <c r="G39" i="7" a="1"/>
  <c r="M10" i="7" a="1"/>
  <c r="I37" i="7" a="1"/>
  <c r="H73" i="7" a="1"/>
  <c r="J56" i="7" a="1"/>
  <c r="M59" i="7" a="1"/>
  <c r="D128" i="7" a="1"/>
  <c r="L81" i="7" a="1"/>
  <c r="O119" i="7" a="1"/>
  <c r="G68" i="7" a="1"/>
  <c r="N64" i="7" a="1"/>
  <c r="H131" i="7" a="1"/>
  <c r="K9" i="7" a="1"/>
  <c r="F74" i="7" a="1"/>
  <c r="J85" i="7" a="1"/>
  <c r="M37" i="7" a="1"/>
  <c r="H37" i="7" a="1"/>
  <c r="E128" i="7" a="1"/>
  <c r="D51" i="7" a="1"/>
  <c r="E107" i="7" a="1"/>
  <c r="K20" i="7" a="1"/>
  <c r="E15" i="1" a="1"/>
  <c r="D118" i="7" a="1"/>
  <c r="F33" i="7" a="1"/>
  <c r="I18" i="1" a="1"/>
  <c r="K36" i="1" a="1"/>
  <c r="L34" i="1" a="1"/>
  <c r="K80" i="7" a="1"/>
  <c r="G19" i="1" a="1"/>
  <c r="D97" i="7" a="1"/>
  <c r="D82" i="7" a="1"/>
  <c r="J96" i="7" a="1"/>
  <c r="K29" i="7" a="1"/>
  <c r="I36" i="7" a="1"/>
  <c r="D88" i="7" a="1"/>
  <c r="G6" i="1" a="1"/>
  <c r="C118" i="7" a="1"/>
  <c r="D14" i="7" a="1"/>
  <c r="C23" i="1" a="1"/>
  <c r="G18" i="1" a="1"/>
  <c r="J124" i="7" a="1"/>
  <c r="C113" i="7" a="1"/>
  <c r="K102" i="7" a="1"/>
  <c r="N24" i="7" a="1"/>
  <c r="O17" i="7" a="1"/>
  <c r="K76" i="7" a="1"/>
  <c r="I34" i="1" a="1"/>
  <c r="N82" i="7" a="1"/>
  <c r="E117" i="7" a="1"/>
  <c r="M101" i="7" a="1"/>
  <c r="G107" i="7" a="1"/>
  <c r="M86" i="7" a="1"/>
  <c r="D24" i="1" a="1"/>
  <c r="I105" i="7" a="1"/>
  <c r="L103" i="7" a="1"/>
  <c r="K118" i="7" a="1"/>
  <c r="L5" i="1" a="1"/>
  <c r="H62" i="7" a="1"/>
  <c r="D117" i="7" a="1"/>
  <c r="D23" i="1" a="1"/>
  <c r="K30" i="7" a="1"/>
  <c r="E18" i="1" a="1"/>
  <c r="C68" i="7" a="1"/>
  <c r="L117" i="7" a="1"/>
  <c r="D39" i="1" a="1"/>
  <c r="J131" i="7" a="1"/>
  <c r="J53" i="7" a="1"/>
  <c r="C16" i="1" a="1"/>
  <c r="F16" i="7" a="1"/>
  <c r="O96" i="7" a="1"/>
  <c r="F70" i="7" a="1"/>
  <c r="C126" i="7" a="1"/>
  <c r="E15" i="7" a="1"/>
  <c r="E99" i="7" a="1"/>
  <c r="E14" i="7" a="1"/>
  <c r="E20" i="7" a="1"/>
  <c r="L111" i="7" a="1"/>
  <c r="D69" i="7" a="1"/>
  <c r="C25" i="7" a="1"/>
  <c r="I81" i="7" a="1"/>
  <c r="N20" i="7" a="1"/>
  <c r="G9" i="7" a="1"/>
  <c r="M29" i="1" a="1"/>
  <c r="K19" i="7" a="1"/>
  <c r="G14" i="1" a="1"/>
  <c r="G105" i="7" a="1"/>
  <c r="N102" i="7" a="1"/>
  <c r="C69" i="7" a="1"/>
  <c r="F41" i="7" a="1"/>
  <c r="F26" i="7" a="1"/>
  <c r="E102" i="7" a="1"/>
  <c r="M60" i="7" a="1"/>
  <c r="I24" i="7" a="1"/>
  <c r="E106" i="7" a="1"/>
  <c r="L29" i="1" a="1"/>
  <c r="I5" i="7" a="1"/>
  <c r="I22" i="7" a="1"/>
  <c r="O40" i="7" a="1"/>
  <c r="H20" i="1" a="1"/>
  <c r="O72" i="7" a="1"/>
  <c r="D111" i="7" a="1"/>
  <c r="M126" i="7" a="1"/>
  <c r="I62" i="7" a="1"/>
  <c r="E4" i="1" a="1"/>
  <c r="F113" i="7" a="1"/>
  <c r="E118" i="7" a="1"/>
  <c r="F18" i="1" a="1"/>
  <c r="L99" i="7" a="1"/>
  <c r="L6" i="1" a="1"/>
  <c r="L115" i="7" a="1"/>
  <c r="N58" i="7" a="1"/>
  <c r="J14" i="1" a="1"/>
  <c r="G22" i="1" a="1"/>
  <c r="G22" i="7" a="1"/>
  <c r="K27" i="7" a="1"/>
  <c r="F60" i="7" a="1"/>
  <c r="F38" i="7" a="1"/>
  <c r="H29" i="7" a="1"/>
  <c r="F25" i="1" a="1"/>
  <c r="G33" i="7" a="1"/>
  <c r="I88" i="7" a="1"/>
  <c r="E126" i="7" a="1"/>
  <c r="H116" i="7" a="1"/>
  <c r="C121" i="7" a="1"/>
  <c r="J125" i="7" a="1"/>
  <c r="C29" i="7" a="1"/>
  <c r="L12" i="7" a="1"/>
  <c r="H33" i="7" a="1"/>
  <c r="C34" i="1" a="1"/>
  <c r="I34" i="7" a="1"/>
  <c r="L4" i="7" a="1"/>
  <c r="I15" i="1" a="1"/>
  <c r="F52" i="7" a="1"/>
  <c r="G25" i="1" a="1"/>
  <c r="H74" i="7" a="1"/>
  <c r="G21" i="1" a="1"/>
  <c r="K41" i="1" a="1"/>
  <c r="E27" i="7" a="1"/>
  <c r="K38" i="7" a="1"/>
  <c r="L114" i="7" a="1"/>
  <c r="D130" i="7" a="1"/>
  <c r="M62" i="7" a="1"/>
  <c r="G77" i="7" a="1"/>
  <c r="E88" i="7" a="1"/>
  <c r="O121" i="7" a="1"/>
  <c r="C73" i="7" a="1"/>
  <c r="O65" i="7" a="1"/>
  <c r="J16" i="1" a="1"/>
  <c r="L36" i="1" a="1"/>
  <c r="F30" i="1" a="1"/>
  <c r="O102" i="7" a="1"/>
  <c r="N95" i="7" a="1"/>
  <c r="K103" i="7" a="1"/>
  <c r="J116" i="7" a="1"/>
  <c r="I55" i="7" a="1"/>
  <c r="E84" i="7" a="1"/>
  <c r="D54" i="7" a="1"/>
  <c r="D120" i="7" a="1"/>
  <c r="J101" i="7" a="1"/>
  <c r="M64" i="7" a="1"/>
  <c r="N5" i="1" a="1"/>
  <c r="H32" i="1" a="1"/>
  <c r="H127" i="7" a="1"/>
  <c r="E16" i="7" a="1"/>
  <c r="K35" i="1" a="1"/>
  <c r="F41" i="1" a="1"/>
  <c r="F62" i="7" a="1"/>
  <c r="G106" i="7" a="1"/>
  <c r="O85" i="7" a="1"/>
  <c r="D35" i="7" a="1"/>
  <c r="C23" i="7" a="1"/>
  <c r="M111" i="7" a="1"/>
  <c r="N76" i="7" a="1"/>
  <c r="J29" i="1" a="1"/>
  <c r="L6" i="7" a="1"/>
  <c r="E38" i="1" a="1"/>
  <c r="M51" i="7" a="1"/>
  <c r="E26" i="7" a="1"/>
  <c r="J18" i="7" a="1"/>
  <c r="L82" i="7" a="1"/>
  <c r="L96" i="7" a="1"/>
  <c r="G127" i="7" a="1"/>
  <c r="L80" i="7" a="1"/>
  <c r="I65" i="7" a="1"/>
  <c r="H119" i="7" a="1"/>
  <c r="I121" i="7" a="1"/>
  <c r="H65" i="7" a="1"/>
  <c r="M125" i="7" a="1"/>
  <c r="J5" i="1" a="1"/>
  <c r="L23" i="1" a="1"/>
  <c r="D125" i="7" a="1"/>
  <c r="J15" i="7" a="1"/>
  <c r="N14" i="1" a="1"/>
  <c r="C82" i="7" a="1"/>
  <c r="N66" i="7" a="1"/>
  <c r="M9" i="1" a="1"/>
  <c r="L123" i="7" a="1"/>
  <c r="H120" i="7" a="1"/>
  <c r="C84" i="7" a="1"/>
  <c r="F4" i="1" a="1"/>
  <c r="F13" i="1" a="1"/>
  <c r="H14" i="7" a="1"/>
  <c r="O100" i="7" a="1"/>
  <c r="E21" i="1" a="1"/>
  <c r="H36" i="7" a="1"/>
  <c r="C116" i="7" a="1"/>
  <c r="I124" i="7" a="1"/>
  <c r="H27" i="7" a="1"/>
  <c r="L122" i="7" a="1"/>
  <c r="J22" i="7" a="1"/>
  <c r="I96" i="7" a="1"/>
  <c r="D18" i="7" a="1"/>
  <c r="K120" i="7" a="1"/>
  <c r="L68" i="7" a="1"/>
  <c r="L77" i="7" a="1"/>
  <c r="L116" i="7" a="1"/>
  <c r="L14" i="1" a="1"/>
  <c r="J8" i="1" a="1"/>
  <c r="E87" i="7" a="1"/>
  <c r="J108" i="7" a="1"/>
  <c r="E100" i="7" a="1"/>
  <c r="I57" i="7" a="1"/>
  <c r="C112" i="7" a="1"/>
  <c r="M12" i="7" a="1"/>
  <c r="G88" i="7" a="1"/>
  <c r="E41" i="7" a="1"/>
  <c r="J95" i="7" a="1"/>
  <c r="I17" i="7" a="1"/>
  <c r="M97" i="7" a="1"/>
  <c r="G7" i="1" a="1"/>
  <c r="O34" i="7" a="1"/>
  <c r="D116" i="7" a="1"/>
  <c r="K6" i="7" a="1"/>
  <c r="D102" i="7" a="1"/>
  <c r="G61" i="7" a="1"/>
  <c r="N114" i="7" a="1"/>
  <c r="E27" i="1" a="1"/>
  <c r="I69" i="7" a="1"/>
  <c r="N26" i="7" a="1"/>
  <c r="C106" i="7" a="1"/>
  <c r="I35" i="1" a="1"/>
  <c r="L98" i="7" a="1"/>
  <c r="F78" i="7" a="1"/>
  <c r="I108" i="7" a="1"/>
  <c r="G67" i="7" a="1"/>
  <c r="J68" i="7" a="1"/>
  <c r="J21" i="7" a="1"/>
  <c r="J128" i="7" a="1"/>
  <c r="N36" i="1" a="1"/>
  <c r="K9" i="1" a="1"/>
  <c r="L16" i="1" a="1"/>
  <c r="H11" i="7" a="1"/>
  <c r="E39" i="7" a="1"/>
  <c r="F88" i="7" a="1"/>
  <c r="M16" i="7" a="1"/>
  <c r="K31" i="1" a="1"/>
  <c r="F7" i="7" a="1"/>
  <c r="O86" i="7" a="1"/>
  <c r="H75" i="7" a="1"/>
  <c r="G39" i="1" a="1"/>
  <c r="D68" i="7" a="1"/>
  <c r="D86" i="7" a="1"/>
  <c r="L37" i="7" a="1"/>
  <c r="L24" i="1" a="1"/>
  <c r="N60" i="7" a="1"/>
  <c r="G81" i="7" a="1"/>
  <c r="L52" i="7" a="1"/>
  <c r="C58" i="7" a="1"/>
  <c r="M96" i="7" a="1"/>
  <c r="H72" i="7" a="1"/>
  <c r="F21" i="1" a="1"/>
  <c r="C125" i="7" a="1"/>
  <c r="F24" i="7" a="1"/>
  <c r="I19" i="7" a="1"/>
  <c r="J37" i="1" a="1"/>
  <c r="L104" i="7" a="1"/>
  <c r="G27" i="1" a="1"/>
  <c r="O70" i="7" a="1"/>
  <c r="D38" i="7" a="1"/>
  <c r="I20" i="1" a="1"/>
  <c r="N22" i="1" a="1"/>
  <c r="D37" i="7" a="1"/>
  <c r="N81" i="7" a="1"/>
  <c r="E80" i="7" a="1"/>
  <c r="K13" i="1" a="1"/>
  <c r="H38" i="1" a="1"/>
  <c r="G16" i="7" a="1"/>
  <c r="F72" i="7" a="1"/>
  <c r="M108" i="7" a="1"/>
  <c r="N20" i="1" a="1"/>
  <c r="I80" i="7" a="1"/>
  <c r="E85" i="7" a="1"/>
  <c r="E38" i="7" a="1"/>
  <c r="E132" i="7" a="1"/>
  <c r="I63" i="7" a="1"/>
  <c r="D28" i="1" a="1"/>
  <c r="K71" i="7" a="1"/>
  <c r="L28" i="1" a="1"/>
  <c r="D107" i="7" a="1"/>
  <c r="K115" i="7" a="1"/>
  <c r="J17" i="1" a="1"/>
  <c r="G30" i="7" a="1"/>
  <c r="O128" i="7" a="1"/>
  <c r="M20" i="1" a="1"/>
  <c r="F5" i="1" a="1"/>
  <c r="C104" i="7" a="1"/>
  <c r="K77" i="7" a="1"/>
  <c r="G71" i="7" a="1"/>
  <c r="G11" i="1" a="1"/>
  <c r="N28" i="1" a="1"/>
  <c r="N59" i="7" a="1"/>
  <c r="J26" i="7" a="1"/>
  <c r="C75" i="7" a="1"/>
  <c r="J39" i="1" a="1"/>
  <c r="D74" i="7" a="1"/>
  <c r="D95" i="7" a="1"/>
  <c r="F71" i="7" a="1"/>
  <c r="D12" i="7" a="1"/>
  <c r="O37" i="7" a="1"/>
  <c r="M80" i="7" a="1"/>
  <c r="L57" i="7" a="1"/>
  <c r="J34" i="1" a="1"/>
  <c r="M22" i="7" a="1"/>
  <c r="D18" i="1" a="1"/>
  <c r="J25" i="1" a="1"/>
  <c r="C107" i="7" a="1"/>
  <c r="H104" i="7" a="1"/>
  <c r="E51" i="7" a="1"/>
  <c r="E120" i="7" a="1"/>
  <c r="L56" i="7" a="1"/>
  <c r="M32" i="1" a="1"/>
  <c r="N109" i="7" a="1"/>
  <c r="I21" i="1" a="1"/>
  <c r="F27" i="7" a="1"/>
  <c r="L55" i="7" a="1"/>
  <c r="G4" i="7" a="1"/>
  <c r="J130" i="7" a="1"/>
  <c r="K100" i="7" a="1"/>
  <c r="N36" i="7" a="1"/>
  <c r="F68" i="7" a="1"/>
  <c r="H85" i="7" a="1"/>
  <c r="K88" i="7" a="1"/>
  <c r="K105" i="7" a="1"/>
  <c r="J70" i="7" a="1"/>
  <c r="C22" i="7" a="1"/>
  <c r="J72" i="7" a="1"/>
  <c r="E6" i="1" a="1"/>
  <c r="K64" i="7" a="1"/>
  <c r="I41" i="1" a="1"/>
  <c r="G70" i="7" a="1"/>
  <c r="G26" i="1" a="1"/>
  <c r="M63" i="7" a="1"/>
  <c r="C74" i="7" a="1"/>
  <c r="J36" i="7" a="1"/>
  <c r="G31" i="1" a="1"/>
  <c r="D110" i="7" a="1"/>
  <c r="F102" i="7" a="1"/>
  <c r="D9" i="7" a="1"/>
  <c r="F76" i="7" a="1"/>
  <c r="M65" i="7" a="1"/>
  <c r="K15" i="1" a="1"/>
  <c r="K8" i="1" a="1"/>
  <c r="D73" i="7" a="1"/>
  <c r="K56" i="7" a="1"/>
  <c r="E114" i="7" a="1"/>
  <c r="O107" i="7" a="1"/>
  <c r="D31" i="1" a="1"/>
  <c r="I109" i="7" a="1"/>
  <c r="K128" i="7" a="1"/>
  <c r="N18" i="1" a="1"/>
  <c r="L35" i="1" a="1"/>
  <c r="F19" i="1" a="1"/>
  <c r="K107" i="7" a="1"/>
  <c r="I19" i="1" a="1"/>
  <c r="O68" i="7" a="1"/>
  <c r="L5" i="7" a="1"/>
  <c r="F39" i="7" a="1"/>
  <c r="L37" i="1" a="1"/>
  <c r="D19" i="1" a="1"/>
  <c r="K26" i="1" a="1"/>
  <c r="K83" i="7" a="1"/>
  <c r="K7" i="1" a="1"/>
  <c r="E78" i="7" a="1"/>
  <c r="K37" i="7" a="1"/>
  <c r="M55" i="7" a="1"/>
  <c r="N31" i="7" a="1"/>
  <c r="I4" i="7" a="1"/>
  <c r="C25" i="1" a="1"/>
  <c r="I98" i="7" a="1"/>
  <c r="L119" i="7" a="1"/>
  <c r="I16" i="1" a="1"/>
  <c r="H32" i="7" a="1"/>
  <c r="F10" i="1" a="1"/>
  <c r="N107" i="7" a="1"/>
  <c r="L54" i="7" a="1"/>
  <c r="D9" i="1" a="1"/>
  <c r="K99" i="7" a="1"/>
  <c r="F21" i="7" a="1"/>
  <c r="G87" i="7" a="1"/>
  <c r="G54" i="7" a="1"/>
  <c r="F12" i="7" a="1"/>
  <c r="N30" i="1" a="1"/>
  <c r="G108" i="7" a="1"/>
  <c r="H112" i="7" a="1"/>
  <c r="J33" i="1" a="1"/>
  <c r="E105" i="7" a="1"/>
  <c r="D20" i="7" a="1"/>
  <c r="J110" i="7" a="1"/>
  <c r="K87" i="7" a="1"/>
  <c r="H12" i="7" a="1"/>
  <c r="N11" i="1" a="1"/>
  <c r="I115" i="7" a="1"/>
  <c r="D104" i="7" a="1"/>
  <c r="L8" i="1" a="1"/>
  <c r="F81" i="7" a="1"/>
  <c r="K85" i="7" a="1"/>
  <c r="E64" i="7" a="1"/>
  <c r="N115" i="7" a="1"/>
  <c r="H88" i="7" a="1"/>
  <c r="K25" i="1" a="1"/>
  <c r="O125" i="7" a="1"/>
  <c r="E63" i="7" a="1"/>
  <c r="E125" i="7" a="1"/>
  <c r="K53" i="7" a="1"/>
  <c r="D106" i="7" a="1"/>
  <c r="N63" i="7" a="1"/>
  <c r="D17" i="1" a="1"/>
  <c r="G65" i="7" a="1"/>
  <c r="D10" i="7" a="1"/>
  <c r="N118" i="7" a="1"/>
  <c r="J6" i="1" a="1"/>
  <c r="K69" i="7" a="1"/>
  <c r="H22" i="1" a="1"/>
  <c r="F38" i="1" a="1"/>
  <c r="N62" i="7" a="1"/>
  <c r="M83" i="7" a="1"/>
  <c r="G83" i="7" a="1"/>
  <c r="M6" i="1" a="1"/>
  <c r="H36" i="1" a="1"/>
  <c r="L112" i="7" a="1"/>
  <c r="L120" i="7" a="1"/>
  <c r="C21" i="1" a="1"/>
  <c r="L27" i="1" a="1"/>
  <c r="C18" i="1" a="1"/>
  <c r="G120" i="7" a="1"/>
  <c r="I33" i="1" a="1"/>
  <c r="N124" i="7" a="1"/>
  <c r="E73" i="7" a="1"/>
  <c r="H20" i="7" a="1"/>
  <c r="O52" i="7" a="1"/>
  <c r="M4" i="7" a="1"/>
  <c r="J77" i="7" a="1"/>
  <c r="H30" i="7" a="1"/>
  <c r="I114" i="7" a="1"/>
  <c r="M40" i="1" a="1"/>
  <c r="E5" i="7" a="1"/>
  <c r="G118" i="7" a="1"/>
  <c r="O41" i="7" a="1"/>
  <c r="M21" i="1" a="1"/>
  <c r="J9" i="7" a="1"/>
  <c r="N52" i="7" a="1"/>
  <c r="C13" i="1" a="1"/>
  <c r="D132" i="7" a="1"/>
  <c r="H102" i="7" a="1"/>
  <c r="H130" i="7" a="1"/>
  <c r="J29" i="7" a="1"/>
  <c r="O27" i="7" a="1"/>
  <c r="D71" i="7" a="1"/>
  <c r="O36" i="7" a="1"/>
  <c r="C17" i="7" a="1"/>
  <c r="I52" i="7" a="1"/>
  <c r="I17" i="1" a="1"/>
  <c r="I84" i="7" a="1"/>
  <c r="M98" i="7" a="1"/>
  <c r="I53" i="7" a="1"/>
  <c r="O55" i="7" a="1"/>
  <c r="D70" i="7" a="1"/>
  <c r="D60" i="7" a="1"/>
  <c r="M121" i="7" a="1"/>
  <c r="G112" i="7" a="1"/>
  <c r="M129" i="7" a="1"/>
  <c r="C108" i="7" a="1"/>
  <c r="L79" i="7" a="1"/>
  <c r="H21" i="1" a="1"/>
  <c r="J31" i="7" a="1"/>
  <c r="N9" i="7" a="1"/>
  <c r="C13" i="7" a="1"/>
  <c r="C17" i="1" a="1"/>
  <c r="C35" i="1" a="1"/>
  <c r="L72" i="7" a="1"/>
  <c r="I20" i="7" a="1"/>
  <c r="O108" i="7" a="1"/>
  <c r="G95" i="7" a="1"/>
  <c r="C6" i="7" a="1"/>
  <c r="F31" i="1" a="1"/>
  <c r="G33" i="1" a="1"/>
  <c r="D8" i="7" a="1"/>
  <c r="O15" i="7" a="1"/>
  <c r="L108" i="7" a="1"/>
  <c r="J87" i="7" a="1"/>
  <c r="O124" i="7" a="1"/>
  <c r="F17" i="7" a="1"/>
  <c r="I104" i="7" a="1"/>
  <c r="F13" i="7" a="1"/>
  <c r="N84" i="7" a="1"/>
  <c r="I86" i="7" a="1"/>
  <c r="E57" i="7" a="1"/>
  <c r="J4" i="7" a="1"/>
  <c r="I9" i="1" a="1"/>
  <c r="E31" i="1" a="1"/>
  <c r="L22" i="1" a="1"/>
  <c r="E68" i="7" a="1"/>
  <c r="M100" i="7" a="1"/>
  <c r="M39" i="1" a="1"/>
  <c r="O51" i="7" a="1"/>
  <c r="N32" i="1" a="1"/>
  <c r="J20" i="7" a="1"/>
  <c r="H66" i="7" a="1"/>
  <c r="H99" i="7" a="1"/>
  <c r="C6" i="1" a="1"/>
  <c r="O116" i="7" a="1"/>
  <c r="D67" i="7" a="1"/>
  <c r="D32" i="7" a="1"/>
  <c r="J54" i="7" a="1"/>
  <c r="H69" i="7" a="1"/>
  <c r="L106" i="7" a="1"/>
  <c r="D39" i="7" a="1"/>
  <c r="C81" i="7" a="1"/>
  <c r="G63" i="7" a="1"/>
  <c r="F14" i="7" a="1"/>
  <c r="J58" i="7" a="1"/>
  <c r="M127" i="7" a="1"/>
  <c r="D83" i="7" a="1"/>
  <c r="N71" i="7" a="1"/>
  <c r="D55" i="7" a="1"/>
  <c r="N25" i="7" a="1"/>
  <c r="H21" i="7" a="1"/>
  <c r="D81" i="7" a="1"/>
  <c r="C77" i="7" a="1"/>
  <c r="E35" i="7" a="1"/>
  <c r="J61" i="7" a="1"/>
  <c r="G27" i="7" a="1"/>
  <c r="D7" i="1" a="1"/>
  <c r="G36" i="1" a="1"/>
  <c r="D22" i="1" a="1"/>
  <c r="N119" i="7" a="1"/>
  <c r="N19" i="1" a="1"/>
  <c r="F12" i="1" a="1"/>
  <c r="G6" i="7" a="1"/>
  <c r="D6" i="1" a="1"/>
  <c r="O60" i="7" a="1"/>
  <c r="N79" i="7" a="1"/>
  <c r="I10" i="7" a="1"/>
  <c r="O63" i="7" a="1"/>
  <c r="G30" i="1" a="1"/>
  <c r="E6" i="7" a="1"/>
  <c r="N56" i="7" a="1"/>
  <c r="G21" i="7" a="1"/>
  <c r="F126" i="7" a="1"/>
  <c r="I60" i="7" a="1"/>
  <c r="L76" i="7" a="1"/>
  <c r="F22" i="1" a="1"/>
  <c r="I83" i="7" a="1"/>
  <c r="E20" i="1" a="1"/>
  <c r="D10" i="1" a="1"/>
  <c r="H52" i="7" a="1"/>
  <c r="I9" i="7" a="1"/>
  <c r="H77" i="7" a="1"/>
  <c r="C72" i="7" a="1"/>
  <c r="K41" i="7" a="1"/>
  <c r="K73" i="7" a="1"/>
  <c r="E104" i="7" a="1"/>
  <c r="C19" i="7" a="1"/>
  <c r="H95" i="7" a="1"/>
  <c r="O99" i="7" a="1"/>
  <c r="K81" i="7" a="1"/>
  <c r="G126" i="7" a="1"/>
  <c r="H16" i="7" a="1"/>
  <c r="J27" i="1" a="1"/>
  <c r="N15" i="7" a="1"/>
  <c r="K75" i="7" a="1"/>
  <c r="F6" i="1" a="1"/>
  <c r="J114" i="7" a="1"/>
  <c r="N67" i="7" a="1"/>
  <c r="M71" i="7" a="1"/>
  <c r="J41" i="1" a="1"/>
  <c r="N8" i="7" a="1"/>
  <c r="K11" i="1" a="1"/>
  <c r="D11" i="7" a="1"/>
  <c r="C41" i="1" a="1"/>
  <c r="N28" i="7" a="1"/>
  <c r="N69" i="7" a="1"/>
  <c r="N37" i="7" a="1"/>
  <c r="J35" i="1" a="1"/>
  <c r="D113" i="7" a="1"/>
  <c r="D31" i="7" a="1"/>
  <c r="O32" i="7" a="1"/>
  <c r="K17" i="1" a="1"/>
  <c r="E62" i="7" a="1"/>
  <c r="J121" i="7" a="1"/>
  <c r="O83" i="7" a="1"/>
  <c r="C129" i="7" a="1"/>
  <c r="I97" i="7" a="1"/>
  <c r="M34" i="1" a="1"/>
  <c r="L25" i="1" a="1"/>
  <c r="I61" i="7" a="1"/>
  <c r="I118" i="7" a="1"/>
  <c r="H10" i="1" a="1"/>
  <c r="L63" i="7" a="1"/>
  <c r="H8" i="1" a="1"/>
  <c r="H114" i="7" a="1"/>
  <c r="F59" i="7" a="1"/>
  <c r="N113" i="7" a="1"/>
  <c r="C105" i="7" a="1"/>
  <c r="I116" i="7" a="1"/>
  <c r="L21" i="7" a="1"/>
  <c r="K23" i="1" a="1"/>
  <c r="H108" i="7" a="1"/>
  <c r="N41" i="7" a="1"/>
  <c r="H18" i="7" a="1"/>
  <c r="H81" i="7" a="1"/>
  <c r="K24" i="7" a="1"/>
  <c r="M41" i="7" a="1"/>
  <c r="J69" i="7" a="1"/>
  <c r="M29" i="7" a="1"/>
  <c r="E19" i="1" a="1"/>
  <c r="C9" i="1" a="1"/>
  <c r="M118" i="7" a="1"/>
  <c r="C7" i="7" a="1"/>
  <c r="N65" i="7" a="1"/>
  <c r="K112" i="7" a="1"/>
  <c r="D26" i="1" a="1"/>
  <c r="J10" i="1" a="1"/>
  <c r="N80" i="7" a="1"/>
  <c r="J13" i="7" a="1"/>
  <c r="K40" i="1" a="1"/>
  <c r="N12" i="1" a="1"/>
  <c r="J120" i="7" a="1"/>
  <c r="H124" i="7" a="1"/>
  <c r="J57" i="7" a="1"/>
  <c r="E109" i="7" a="1"/>
  <c r="K4" i="7" a="1"/>
  <c r="M79" i="7" a="1"/>
  <c r="E35" i="1" a="1"/>
  <c r="J105" i="7" a="1"/>
  <c r="E53" i="7" a="1"/>
  <c r="J62" i="7" a="1"/>
  <c r="M22" i="1" a="1"/>
  <c r="C61" i="7" a="1"/>
  <c r="H107" i="7" a="1"/>
  <c r="L10" i="1" a="1"/>
  <c r="M8" i="1" a="1"/>
  <c r="L118" i="7" a="1"/>
  <c r="G60" i="7" a="1"/>
  <c r="H56" i="7" a="1"/>
  <c r="D36" i="7" a="1"/>
  <c r="M23" i="7" a="1"/>
  <c r="I122" i="7" a="1"/>
  <c r="M5" i="1" a="1"/>
  <c r="G72" i="7" a="1"/>
  <c r="D85" i="7" a="1"/>
  <c r="M70" i="7" a="1"/>
  <c r="D65" i="7" a="1"/>
  <c r="E98" i="7" a="1"/>
  <c r="I30" i="1" a="1"/>
  <c r="J32" i="7" a="1"/>
  <c r="L31" i="1" a="1"/>
  <c r="J99" i="7" a="1"/>
  <c r="O110" i="7" a="1"/>
  <c r="J71" i="7" a="1"/>
  <c r="O4" i="7" a="1"/>
  <c r="G51" i="7" a="1"/>
  <c r="K116" i="7" a="1"/>
  <c r="N19" i="7" a="1"/>
  <c r="K66" i="7" a="1"/>
  <c r="C18" i="7" a="1"/>
  <c r="E24" i="7" a="1"/>
  <c r="L69" i="7" a="1"/>
  <c r="E86" i="7" a="1"/>
  <c r="I67" i="7" a="1"/>
  <c r="H37" i="1" a="1"/>
  <c r="C51" i="7" a="1"/>
  <c r="D72" i="7" a="1"/>
  <c r="D63" i="7" a="1"/>
  <c r="D13" i="7" a="1"/>
  <c r="F82" i="7" a="1"/>
  <c r="J106" i="7" a="1"/>
  <c r="I106" i="7" a="1"/>
  <c r="D64" i="7" a="1"/>
  <c r="I66" i="7" a="1"/>
  <c r="I12" i="1" a="1"/>
  <c r="E37" i="7" a="1"/>
  <c r="O71" i="7" a="1"/>
  <c r="D41" i="1" a="1"/>
  <c r="H26" i="7" a="1"/>
  <c r="F27" i="1" a="1"/>
  <c r="C12" i="1" a="1"/>
  <c r="J104" i="7" a="1"/>
  <c r="H15" i="7" a="1"/>
  <c r="I11" i="7" a="1"/>
  <c r="E10" i="7" a="1"/>
  <c r="E34" i="7" a="1"/>
  <c r="C38" i="7" a="1"/>
  <c r="N32" i="7" a="1"/>
  <c r="E65" i="7" a="1"/>
  <c r="L32" i="1" a="1"/>
  <c r="F125" i="7" a="1"/>
  <c r="O61" i="7" a="1"/>
  <c r="M54" i="7" a="1"/>
  <c r="G10" i="7" a="1"/>
  <c r="I31" i="7" a="1"/>
  <c r="L65" i="7" a="1"/>
  <c r="E112" i="7" a="1"/>
  <c r="J102" i="7" a="1"/>
  <c r="I41" i="7" a="1"/>
  <c r="G78" i="7" a="1"/>
  <c r="E108" i="7" a="1"/>
  <c r="G111" i="7" a="1"/>
  <c r="L70" i="7" a="1"/>
  <c r="D84" i="7" a="1"/>
  <c r="O7" i="7" a="1"/>
  <c r="F97" i="7" a="1"/>
  <c r="L126" i="7" a="1"/>
  <c r="F54" i="7" a="1"/>
  <c r="L20" i="1" a="1"/>
  <c r="N83" i="7" a="1"/>
  <c r="I129" i="7" a="1"/>
  <c r="F23" i="7" a="1"/>
  <c r="J123" i="7" a="1"/>
  <c r="K12" i="1" a="1"/>
  <c r="E13" i="7" a="1"/>
  <c r="K54" i="7" a="1"/>
  <c r="I38" i="7" a="1"/>
  <c r="O62" i="7" a="1"/>
  <c r="J86" i="7" a="1"/>
  <c r="O16" i="7" a="1"/>
  <c r="D53" i="7" a="1"/>
  <c r="F37" i="1" a="1"/>
  <c r="N61" i="7" a="1"/>
  <c r="K21" i="7" a="1"/>
  <c r="I39" i="7" a="1"/>
  <c r="O126" i="7" a="1"/>
  <c r="F100" i="7" a="1"/>
  <c r="J113" i="7" a="1"/>
  <c r="C87" i="7" a="1"/>
  <c r="L33" i="1" a="1"/>
  <c r="K58" i="7" a="1"/>
  <c r="O109" i="7" a="1"/>
  <c r="H67" i="7" a="1"/>
  <c r="J66" i="7" a="1"/>
  <c r="I87" i="7" a="1"/>
  <c r="F58" i="7" a="1"/>
  <c r="F16" i="1" a="1"/>
  <c r="C96" i="7" a="1"/>
  <c r="L36" i="7" a="1"/>
  <c r="F64" i="7" a="1"/>
  <c r="O26" i="7" a="1"/>
  <c r="F9" i="7" a="1"/>
  <c r="J36" i="1" a="1"/>
  <c r="C95" i="7" a="1"/>
  <c r="L84" i="7" a="1"/>
  <c r="M35" i="7" a="1"/>
  <c r="C30" i="1" a="1"/>
  <c r="N101" i="7" a="1"/>
  <c r="G69" i="7" a="1"/>
  <c r="H53" i="7" a="1"/>
  <c r="K117" i="7" a="1"/>
  <c r="E4" i="7" a="1"/>
  <c r="K129" i="7" a="1"/>
  <c r="G97" i="7" a="1"/>
  <c r="H35" i="1" a="1"/>
  <c r="M26" i="1" a="1"/>
  <c r="D41" i="7" a="1"/>
  <c r="F55" i="7" a="1"/>
  <c r="I112" i="7" a="1"/>
  <c r="J132" i="7" a="1"/>
  <c r="J31" i="1" a="1"/>
  <c r="C12" i="7" a="1"/>
  <c r="E115" i="7" a="1"/>
  <c r="L19" i="7" a="1"/>
  <c r="H61" i="7" a="1"/>
  <c r="E12" i="7" a="1"/>
  <c r="K14" i="7" a="1"/>
  <c r="K86" i="7" a="1"/>
  <c r="L67" i="7" a="1"/>
  <c r="K97" i="7" a="1"/>
  <c r="I36" i="1" a="1"/>
  <c r="M130" i="7" a="1"/>
  <c r="D15" i="7" a="1"/>
  <c r="D98" i="7" a="1"/>
  <c r="O53" i="7" a="1"/>
  <c r="D23" i="7" a="1"/>
  <c r="F20" i="1" a="1"/>
  <c r="N70" i="7" a="1"/>
  <c r="N41" i="1" a="1"/>
  <c r="L109" i="7" a="1"/>
  <c r="L61" i="7" a="1"/>
  <c r="K55" i="7" a="1"/>
  <c r="O129" i="7" a="1"/>
  <c r="D8" i="1" a="1"/>
  <c r="F124" i="7" a="1"/>
  <c r="G84" i="7" a="1"/>
  <c r="M72" i="7" a="1"/>
  <c r="O12" i="7" a="1"/>
  <c r="G115" i="7" a="1"/>
  <c r="D14" i="1" a="1"/>
  <c r="J81" i="7" a="1"/>
  <c r="L21" i="1" a="1"/>
  <c r="D30" i="7" a="1"/>
  <c r="E101" i="7" a="1"/>
  <c r="O115" i="7" a="1"/>
  <c r="D105" i="7" a="1"/>
  <c r="H25" i="1" a="1"/>
  <c r="C83" i="7" a="1"/>
  <c r="K122" i="7" a="1"/>
  <c r="D20" i="1" a="1"/>
  <c r="N17" i="7" a="1"/>
  <c r="E21" i="7" a="1"/>
  <c r="N110" i="7" a="1"/>
  <c r="N16" i="1" a="1"/>
  <c r="O80" i="7" a="1"/>
  <c r="J64" i="7" a="1"/>
  <c r="N21" i="1" a="1"/>
  <c r="L130" i="7" a="1"/>
  <c r="J23" i="1" a="1"/>
  <c r="K67" i="7" a="1"/>
  <c r="I79" i="7" a="1"/>
  <c r="J9" i="1" a="1"/>
  <c r="D29" i="1" a="1"/>
  <c r="N29" i="1" a="1"/>
  <c r="J24" i="7" a="1"/>
  <c r="J117" i="7" a="1"/>
  <c r="D19" i="7" a="1"/>
  <c r="C59" i="7" a="1"/>
  <c r="M109" i="7" a="1"/>
  <c r="O10" i="7" a="1"/>
  <c r="G5" i="1" a="1"/>
  <c r="N6" i="1" a="1"/>
  <c r="I25" i="1" a="1"/>
  <c r="G121" i="7" a="1"/>
  <c r="H117" i="7" a="1"/>
  <c r="N40" i="7" a="1"/>
  <c r="M53" i="7" a="1"/>
  <c r="M88" i="7" a="1"/>
  <c r="E32" i="7" a="1"/>
  <c r="F5" i="7" a="1"/>
  <c r="K131" i="7" a="1"/>
  <c r="H41" i="1" a="1"/>
  <c r="L83" i="7" a="1"/>
  <c r="E9" i="7" a="1"/>
  <c r="J23" i="7" a="1"/>
  <c r="C130" i="7" a="1"/>
  <c r="H129" i="7" a="1"/>
  <c r="G100" i="7" a="1"/>
  <c r="C32" i="7" a="1"/>
  <c r="L40" i="7" a="1"/>
  <c r="E82" i="7" a="1"/>
  <c r="G40" i="7" a="1"/>
  <c r="K4" i="1" a="1"/>
  <c r="I111" i="7" a="1"/>
  <c r="C40" i="7" a="1"/>
  <c r="J27" i="7" a="1"/>
  <c r="K98" i="7" a="1"/>
  <c r="I40" i="1" a="1"/>
  <c r="H4" i="1" a="1"/>
  <c r="J115" i="7" a="1"/>
  <c r="I23" i="7" a="1"/>
  <c r="L15" i="7" a="1"/>
  <c r="I77" i="7" a="1"/>
  <c r="M33" i="7" a="1"/>
  <c r="L110" i="7" a="1"/>
  <c r="J88" i="7" a="1"/>
  <c r="K11" i="7" a="1"/>
  <c r="C24" i="7" a="1"/>
  <c r="C78" i="7" a="1"/>
  <c r="E34" i="1" a="1"/>
  <c r="F73" i="7" a="1"/>
  <c r="G98" i="7" a="1"/>
  <c r="M58" i="7" a="1"/>
  <c r="N104" i="7" a="1"/>
  <c r="F66" i="7" a="1"/>
  <c r="J67" i="7" a="1"/>
  <c r="I22" i="1" a="1"/>
  <c r="G14" i="7" a="1"/>
  <c r="L102" i="7" a="1"/>
  <c r="C28" i="1" a="1"/>
  <c r="H118" i="7" a="1"/>
  <c r="O112" i="7" a="1"/>
  <c r="J22" i="1" a="1"/>
  <c r="K39" i="7" a="1"/>
  <c r="C22" i="1" a="1"/>
  <c r="D33" i="7" a="1"/>
  <c r="J82" i="7" a="1"/>
  <c r="C36" i="7" a="1"/>
  <c r="I6" i="1" a="1"/>
  <c r="O23" i="7" a="1"/>
  <c r="C57" i="7" a="1"/>
  <c r="L78" i="7" a="1"/>
  <c r="N53" i="7" a="1"/>
  <c r="G17" i="7" a="1"/>
  <c r="D27" i="1" a="1"/>
  <c r="G19" i="7" a="1"/>
  <c r="E77" i="7" a="1"/>
  <c r="L11" i="1" a="1"/>
  <c r="D52" i="7" a="1"/>
  <c r="G17" i="1" a="1"/>
  <c r="F53" i="7" a="1"/>
  <c r="F109" i="7" a="1"/>
  <c r="H31" i="7" a="1"/>
  <c r="G109" i="7" a="1"/>
  <c r="F117" i="7" a="1"/>
  <c r="I78" i="7" a="1"/>
  <c r="N78" i="7" a="1"/>
  <c r="H34" i="7" a="1"/>
  <c r="C11" i="7" a="1"/>
  <c r="K29" i="1" a="1"/>
  <c r="K104" i="7" a="1"/>
  <c r="G37" i="1" a="1"/>
  <c r="N27" i="7" a="1"/>
  <c r="J7" i="7" a="1"/>
  <c r="G16" i="1" a="1"/>
  <c r="F25" i="7" a="1"/>
  <c r="F98" i="7" a="1"/>
  <c r="N34" i="1" a="1"/>
  <c r="K72" i="7" a="1"/>
  <c r="F4" i="7" a="1"/>
  <c r="N24" i="1" a="1"/>
  <c r="F127" i="7" a="1"/>
  <c r="C62" i="7" a="1"/>
  <c r="L31" i="7" a="1"/>
  <c r="N18" i="7" a="1"/>
  <c r="N72" i="7" a="1"/>
  <c r="M73" i="7" a="1"/>
  <c r="C111" i="7" a="1"/>
  <c r="M35" i="1" a="1"/>
  <c r="K34" i="1" a="1"/>
  <c r="C65" i="7" a="1"/>
  <c r="E96" i="7" a="1"/>
  <c r="I113" i="7" a="1"/>
  <c r="J38" i="1" a="1"/>
  <c r="C56" i="7" a="1"/>
  <c r="C35" i="7" a="1"/>
  <c r="N131" i="7" a="1"/>
  <c r="I85" i="7" a="1"/>
  <c r="O33" i="7" a="1"/>
  <c r="C41" i="7" a="1"/>
  <c r="H126" i="7" a="1"/>
  <c r="I125" i="7" a="1"/>
  <c r="H28" i="7" a="1"/>
  <c r="M67" i="7" a="1"/>
  <c r="M87" i="7" a="1"/>
  <c r="M82" i="7" a="1"/>
  <c r="E11" i="1" a="1"/>
  <c r="E40" i="7" a="1"/>
  <c r="D103" i="7" a="1"/>
  <c r="G113" i="7" a="1"/>
  <c r="I71" i="7" a="1"/>
  <c r="O58" i="7" a="1"/>
  <c r="O57" i="7" a="1"/>
  <c r="C128" i="7" a="1"/>
  <c r="E95" i="7" a="1"/>
  <c r="K130" i="7" a="1"/>
  <c r="L62" i="7" a="1"/>
  <c r="O131" i="7" a="1"/>
  <c r="K5" i="7" a="1"/>
  <c r="I32" i="1" a="1"/>
  <c r="M30" i="1" a="1"/>
  <c r="M105" i="7" a="1"/>
  <c r="O73" i="7" a="1"/>
  <c r="H111" i="7" a="1"/>
  <c r="E60" i="7" a="1"/>
  <c r="C37" i="1" a="1"/>
  <c r="K17" i="7" a="1"/>
  <c r="F9" i="1" a="1"/>
  <c r="H9" i="1" a="1"/>
  <c r="L101" i="7" a="1"/>
  <c r="C70" i="7" a="1"/>
  <c r="K18" i="7" a="1"/>
  <c r="G131" i="7" a="1"/>
  <c r="G10" i="1" a="1"/>
  <c r="C38" i="1" a="1"/>
  <c r="G40" i="1" a="1"/>
  <c r="M116" i="7" a="1"/>
  <c r="I127" i="7" a="1"/>
  <c r="C37" i="7" a="1"/>
  <c r="L38" i="7" a="1"/>
  <c r="M61" i="7" a="1"/>
  <c r="E116" i="7" a="1"/>
  <c r="I131" i="7" a="1"/>
  <c r="C26" i="7" a="1"/>
  <c r="J19" i="1" a="1"/>
  <c r="I82" i="7" a="1"/>
  <c r="O14" i="7" a="1"/>
  <c r="G85" i="7" a="1"/>
  <c r="O114" i="7" a="1"/>
  <c r="L18" i="7" a="1"/>
  <c r="I35" i="7" a="1"/>
  <c r="H125" i="7" a="1"/>
  <c r="F115" i="7" a="1"/>
  <c r="K101" i="7" a="1"/>
  <c r="L24" i="7" a="1"/>
  <c r="N75" i="7" a="1"/>
  <c r="M33" i="1" a="1"/>
  <c r="E131" i="7" a="1"/>
  <c r="C20" i="7" a="1"/>
  <c r="C101" i="7" a="1"/>
  <c r="N10" i="7" a="1"/>
  <c r="M32" i="7" a="1"/>
  <c r="E10" i="1" a="1"/>
  <c r="J34" i="7" a="1"/>
  <c r="G13" i="7" a="1"/>
  <c r="L7" i="7" a="1"/>
  <c r="H12" i="1" a="1"/>
  <c r="O105" i="7" a="1"/>
  <c r="F7" i="1" a="1"/>
  <c r="N35" i="1" a="1"/>
  <c r="K5" i="1" a="1"/>
  <c r="D33" i="1" a="1"/>
  <c r="G20" i="7" a="1"/>
  <c r="J41" i="7" a="1"/>
  <c r="F28" i="1" a="1"/>
  <c r="J5" i="7" a="1"/>
  <c r="J28" i="7" a="1"/>
  <c r="K33" i="7" a="1"/>
  <c r="G125" i="7" a="1"/>
  <c r="M120" i="7" a="1"/>
  <c r="M131" i="7" a="1"/>
  <c r="D16" i="1" a="1"/>
  <c r="K38" i="1" a="1"/>
  <c r="G20" i="1" a="1"/>
  <c r="O30" i="7" a="1"/>
  <c r="I103" i="7" a="1"/>
  <c r="J26" i="1" a="1"/>
  <c r="O39" i="7" a="1"/>
  <c r="M19" i="7" a="1"/>
  <c r="H100" i="7" a="1"/>
  <c r="G53" i="7" a="1"/>
  <c r="E129" i="7" a="1"/>
  <c r="F119" i="7" a="1"/>
  <c r="L51" i="7" a="1"/>
  <c r="I117" i="7" a="1"/>
  <c r="H98" i="7" a="1"/>
  <c r="O6" i="7" a="1"/>
  <c r="E11" i="7" a="1"/>
  <c r="F87" i="7" a="1"/>
  <c r="I14" i="7" a="1"/>
  <c r="E25" i="1" a="1"/>
  <c r="L86" i="7" a="1"/>
  <c r="N123" i="7" a="1"/>
  <c r="G58" i="7" a="1"/>
  <c r="F120" i="7" a="1"/>
  <c r="H24" i="1" a="1"/>
  <c r="L11" i="7" a="1"/>
  <c r="L13" i="1" a="1"/>
  <c r="F15" i="7" a="1"/>
  <c r="N116" i="7" a="1"/>
  <c r="C21" i="7" a="1"/>
  <c r="J38" i="7" a="1"/>
  <c r="J100" i="7" a="1"/>
  <c r="I16" i="7" a="1"/>
  <c r="I31" i="1" a="1"/>
  <c r="L22" i="7" a="1"/>
  <c r="E17" i="7" a="1"/>
  <c r="E31" i="7" a="1"/>
  <c r="M31" i="7" a="1"/>
  <c r="M104" i="7" a="1"/>
  <c r="I7" i="7" a="1"/>
  <c r="M19" i="1" a="1"/>
  <c r="O66" i="7" a="1"/>
  <c r="F61" i="7" a="1"/>
  <c r="O81" i="7" a="1"/>
  <c r="C32" i="1" a="1"/>
  <c r="N77" i="7" a="1"/>
  <c r="H110" i="7" a="1"/>
  <c r="E124" i="7" a="1"/>
  <c r="H4" i="7" a="1"/>
  <c r="E30" i="7" a="1"/>
  <c r="J76" i="7" a="1"/>
  <c r="H31" i="1" a="1"/>
  <c r="G24" i="7" a="1"/>
  <c r="G114" i="7" a="1"/>
  <c r="H113" i="7" a="1"/>
  <c r="C114" i="7" a="1"/>
  <c r="G101" i="7" a="1"/>
  <c r="C36" i="1" a="1"/>
  <c r="M24" i="7" a="1"/>
  <c r="M14" i="7" a="1"/>
  <c r="E28" i="7" a="1"/>
  <c r="I11" i="1" a="1"/>
  <c r="E54" i="7" a="1"/>
  <c r="E18" i="7" a="1"/>
  <c r="G18" i="7" a="1"/>
  <c r="N108" i="7" a="1"/>
  <c r="L12" i="1" a="1"/>
  <c r="J32" i="1" a="1"/>
  <c r="M10" i="1" a="1"/>
  <c r="J84" i="7" a="1"/>
  <c r="L30" i="1" a="1"/>
  <c r="J14" i="7" a="1"/>
  <c r="K123" i="7" a="1"/>
  <c r="H15" i="1" a="1"/>
  <c r="F31" i="7" a="1"/>
  <c r="M18" i="7" a="1"/>
  <c r="J112" i="7" a="1"/>
  <c r="K32" i="7" a="1"/>
  <c r="C80" i="7" a="1"/>
  <c r="L85" i="7" a="1"/>
  <c r="H54" i="7" a="1"/>
  <c r="M13" i="7" a="1"/>
  <c r="J40" i="7" a="1"/>
  <c r="J6" i="7" a="1"/>
  <c r="N96" i="7" a="1"/>
  <c r="E130" i="7" a="1"/>
  <c r="K36" i="7" a="1"/>
  <c r="H17" i="1" a="1"/>
  <c r="J59" i="7" a="1"/>
  <c r="N16" i="7" a="1"/>
  <c r="N6" i="7" a="1"/>
  <c r="J78" i="7" a="1"/>
  <c r="C31" i="7" a="1"/>
  <c r="O97" i="7" a="1"/>
  <c r="H23" i="1" a="1"/>
  <c r="K125" i="7" a="1"/>
  <c r="N68" i="7" a="1"/>
  <c r="I64" i="7" a="1"/>
  <c r="J83" i="7" a="1"/>
  <c r="N128" i="7" a="1"/>
  <c r="M84" i="7" a="1"/>
  <c r="D115" i="7" a="1"/>
  <c r="F51" i="7" a="1"/>
  <c r="E58" i="7" a="1"/>
  <c r="J11" i="1" a="1"/>
  <c r="D101" i="7" a="1"/>
  <c r="L15" i="1" a="1"/>
  <c r="G62" i="7" a="1"/>
  <c r="O113" i="7" a="1"/>
  <c r="O122" i="7" a="1"/>
  <c r="O130" i="7" a="1"/>
  <c r="K61" i="7" a="1"/>
  <c r="H70" i="7" a="1"/>
  <c r="K33" i="1" a="1"/>
  <c r="G29" i="7" a="1"/>
  <c r="F37" i="7" a="1"/>
  <c r="E28" i="1" a="1"/>
  <c r="H35" i="7" a="1"/>
  <c r="D25" i="7" a="1"/>
  <c r="D76" i="7" a="1"/>
  <c r="L127" i="7" a="1"/>
  <c r="L125" i="7" a="1"/>
  <c r="F35" i="7" a="1"/>
  <c r="D119" i="7" a="1"/>
  <c r="G59" i="7" a="1"/>
  <c r="E74" i="7" a="1"/>
  <c r="M11" i="7" a="1"/>
  <c r="J111" i="7" a="1"/>
  <c r="O64" i="7" a="1"/>
  <c r="N25" i="1" a="1"/>
  <c r="F23" i="1" a="1"/>
  <c r="L41" i="7" a="1"/>
  <c r="L53" i="7" a="1"/>
  <c r="C27" i="7" a="1"/>
  <c r="H60" i="7" a="1"/>
  <c r="N126" i="7" a="1"/>
  <c r="L107" i="7" a="1"/>
  <c r="G76" i="7" a="1"/>
  <c r="E110" i="7" a="1"/>
  <c r="M39" i="7" a="1"/>
  <c r="H24" i="7" a="1"/>
  <c r="C110" i="7" a="1"/>
  <c r="K15" i="7" a="1"/>
  <c r="C85" i="7" a="1"/>
  <c r="M30" i="7" a="1"/>
  <c r="L97" i="7" a="1"/>
  <c r="C30" i="7" a="1"/>
  <c r="D100" i="7" a="1"/>
  <c r="M26" i="7" a="1"/>
  <c r="O9" i="7" a="1"/>
  <c r="H41" i="7" a="1"/>
  <c r="J19" i="7" a="1"/>
  <c r="C5" i="7" a="1"/>
  <c r="J129" i="7" a="1"/>
  <c r="D24" i="7" a="1"/>
  <c r="C55" i="7" a="1"/>
  <c r="H51" i="7" a="1"/>
  <c r="O127" i="7" a="1"/>
  <c r="I40" i="7" a="1"/>
  <c r="K16" i="7" a="1"/>
  <c r="O98" i="7" a="1"/>
  <c r="I13" i="7" a="1"/>
  <c r="C26" i="1" a="1"/>
  <c r="I102" i="7" a="1"/>
  <c r="F103" i="7" a="1"/>
  <c r="N8" i="1" a="1"/>
  <c r="L40" i="1" a="1"/>
  <c r="O87" i="7" a="1"/>
  <c r="E22" i="1" a="1"/>
  <c r="L75" i="7" a="1"/>
  <c r="D96" i="7" a="1"/>
  <c r="H96" i="7" a="1"/>
  <c r="N13" i="7" a="1"/>
  <c r="I25" i="7" a="1"/>
  <c r="J107" i="7" a="1"/>
  <c r="M24" i="1" a="1"/>
  <c r="M13" i="1" a="1"/>
  <c r="E121" i="7" a="1"/>
  <c r="H105" i="7" a="1"/>
  <c r="L8" i="7" a="1"/>
  <c r="I12" i="7" a="1"/>
  <c r="J8" i="7" a="1"/>
  <c r="J98" i="7" a="1"/>
  <c r="I38" i="1" a="1"/>
  <c r="C52" i="7" a="1"/>
  <c r="L28" i="7" a="1"/>
  <c r="E33" i="7" a="1"/>
  <c r="C9" i="7" a="1"/>
  <c r="N5" i="7" a="1"/>
  <c r="K51" i="7" a="1"/>
  <c r="M115" i="7" a="1"/>
  <c r="F99" i="7" a="1"/>
  <c r="E16" i="1" a="1"/>
  <c r="K24" i="1" a="1"/>
  <c r="G55" i="7" a="1"/>
  <c r="N111" i="7" a="1"/>
  <c r="H19" i="7" a="1"/>
  <c r="J52" i="7" a="1"/>
  <c r="I120" i="7" a="1"/>
  <c r="G38" i="1" a="1"/>
  <c r="E61" i="7" a="1"/>
  <c r="H80" i="7" a="1"/>
  <c r="K124" i="7" a="1"/>
  <c r="M37" i="1" a="1"/>
  <c r="H106" i="7" a="1"/>
  <c r="C15" i="1" a="1"/>
  <c r="K6" i="1" a="1"/>
  <c r="I74" i="7" a="1"/>
  <c r="D58" i="7" a="1"/>
  <c r="K59" i="7" a="1"/>
  <c r="E55" i="7" a="1"/>
  <c r="J103" i="7" a="1"/>
  <c r="N21" i="7" a="1"/>
  <c r="H55" i="7" a="1"/>
  <c r="C10" i="7" a="1"/>
  <c r="O11" i="7" a="1"/>
  <c r="G96" i="7" a="1"/>
  <c r="N57" i="7" a="1"/>
  <c r="H122" i="7" a="1"/>
  <c r="M8" i="7" a="1"/>
  <c r="L25" i="7" a="1"/>
  <c r="J21" i="1" a="1"/>
  <c r="D38" i="1" a="1"/>
  <c r="E8" i="1" a="1"/>
  <c r="D5" i="7" a="1"/>
  <c r="D114" i="7" a="1"/>
  <c r="D21" i="7" a="1"/>
  <c r="G103" i="7" a="1"/>
  <c r="D122" i="7" a="1"/>
  <c r="O118" i="7" a="1"/>
  <c r="C4" i="1" a="1"/>
  <c r="L41" i="1" a="1"/>
  <c r="C60" i="7" a="1"/>
  <c r="D25" i="1" a="1"/>
  <c r="K34" i="7" a="1"/>
  <c r="K108" i="7" a="1"/>
  <c r="H38" i="7" a="1"/>
  <c r="M123" i="7" a="1"/>
  <c r="O132" i="7" a="1"/>
  <c r="N98" i="7" a="1"/>
  <c r="G34" i="1" a="1"/>
  <c r="L23" i="7" a="1"/>
  <c r="N14" i="7" a="1"/>
  <c r="H115" i="7" a="1"/>
  <c r="K28" i="1" a="1"/>
  <c r="N54" i="7" a="1"/>
  <c r="C7" i="1" a="1"/>
  <c r="M23" i="1" a="1"/>
  <c r="I70" i="7" a="1"/>
  <c r="I24" i="1" a="1"/>
  <c r="N73" i="7" a="1"/>
  <c r="K111" i="7" a="1"/>
  <c r="H76" i="7" a="1"/>
  <c r="K7" i="7" a="1"/>
  <c r="F11" i="7" a="1"/>
  <c r="N117" i="7" a="1"/>
  <c r="C34" i="7" a="1"/>
  <c r="M52" i="7" a="1"/>
  <c r="L9" i="1" a="1"/>
  <c r="H58" i="7" a="1"/>
  <c r="M28" i="7" a="1"/>
  <c r="D37" i="1" a="1"/>
  <c r="J18" i="1" a="1"/>
  <c r="C39" i="1" a="1"/>
  <c r="L74" i="7" a="1"/>
  <c r="I100" i="7" a="1"/>
  <c r="O59" i="7" a="1"/>
  <c r="K40" i="7" a="1"/>
  <c r="F29" i="1" a="1"/>
  <c r="E7" i="7" a="1"/>
  <c r="J13" i="1" a="1"/>
  <c r="M21" i="7" a="1"/>
  <c r="G41" i="1" a="1"/>
  <c r="K28" i="7" a="1"/>
  <c r="O104" i="7" a="1"/>
  <c r="G15" i="7" a="1"/>
  <c r="M27" i="7" a="1"/>
  <c r="O106" i="7" a="1"/>
  <c r="N17" i="1" a="1"/>
  <c r="G117" i="7" a="1"/>
  <c r="M4" i="1" a="1"/>
  <c r="F40" i="7" a="1"/>
  <c r="F69" i="7" a="1"/>
  <c r="O95" i="7" a="1"/>
  <c r="G37" i="7" a="1"/>
  <c r="N112" i="7" a="1"/>
  <c r="F123" i="7" a="1"/>
  <c r="O78" i="7" a="1"/>
  <c r="C109" i="7" a="1"/>
  <c r="I76" i="7" a="1"/>
  <c r="G116" i="7" a="1"/>
  <c r="L9" i="7" a="1"/>
  <c r="M132" i="7" a="1"/>
  <c r="F122" i="7" a="1"/>
  <c r="G11" i="7" a="1"/>
  <c r="M119" i="7" a="1"/>
  <c r="J12" i="7" a="1"/>
  <c r="J25" i="7" a="1"/>
  <c r="N125" i="7" a="1"/>
  <c r="M78" i="7" a="1"/>
  <c r="M11" i="1" a="1"/>
  <c r="E36" i="7" a="1"/>
  <c r="D27" i="7" a="1"/>
  <c r="J126" i="7" a="1"/>
  <c r="M76" i="7" a="1"/>
  <c r="D30" i="1" a="1"/>
  <c r="L95" i="7" a="1"/>
  <c r="O29" i="7" a="1"/>
  <c r="I33" i="7" a="1"/>
  <c r="L105" i="7" a="1"/>
  <c r="F107" i="7" a="1"/>
  <c r="O31" i="7" a="1"/>
  <c r="K95" i="7" a="1"/>
  <c r="C88" i="7" a="1"/>
  <c r="D57" i="7" a="1"/>
  <c r="H71" i="7" a="1"/>
  <c r="O19" i="7" a="1"/>
  <c r="G31" i="7" a="1"/>
  <c r="F34" i="1" a="1"/>
  <c r="L19" i="1" a="1"/>
  <c r="J55" i="7" a="1"/>
  <c r="K84" i="7" a="1"/>
  <c r="I59" i="7" a="1"/>
  <c r="K16" i="1" a="1"/>
  <c r="I32" i="7" a="1"/>
  <c r="C31" i="1" a="1"/>
  <c r="H97" i="7" a="1"/>
  <c r="M102" i="7" a="1"/>
  <c r="M38" i="7" a="1"/>
  <c r="J17" i="7" a="1"/>
  <c r="H83" i="7" a="1"/>
  <c r="L34" i="7" a="1"/>
  <c r="F83" i="7" a="1"/>
  <c r="O75" i="7" a="1"/>
  <c r="E37" i="1" a="1"/>
  <c r="C11" i="1" a="1"/>
  <c r="F17" i="1" a="1"/>
  <c r="D123" i="7" a="1"/>
  <c r="F114" i="7" a="1"/>
  <c r="M103" i="7" a="1"/>
  <c r="C76" i="7" a="1"/>
  <c r="D35" i="1" a="1"/>
  <c r="I23" i="1" a="1"/>
  <c r="C8" i="1" a="1"/>
  <c r="G52" i="7" a="1"/>
  <c r="H7" i="1" a="1"/>
  <c r="K74" i="7" a="1"/>
  <c r="M40" i="7" a="1"/>
  <c r="H28" i="1" a="1"/>
  <c r="M17" i="7" a="1"/>
  <c r="E69" i="7" a="1"/>
  <c r="L121" i="7" a="1"/>
  <c r="E23" i="7" a="1"/>
  <c r="N132" i="7" a="1"/>
  <c r="C20" i="1" a="1"/>
  <c r="G129" i="7" a="1"/>
  <c r="N29" i="7" a="1"/>
  <c r="G13" i="1" a="1"/>
  <c r="M7" i="7" a="1"/>
  <c r="I14" i="1" a="1"/>
  <c r="L58" i="7" a="1"/>
  <c r="L131" i="7" a="1"/>
  <c r="E23" i="1" a="1"/>
  <c r="K37" i="1" a="1"/>
  <c r="M124" i="7" a="1"/>
  <c r="K70" i="7" a="1"/>
  <c r="F36" i="7" a="1"/>
  <c r="E59" i="7" a="1"/>
  <c r="L33" i="7" a="1"/>
  <c r="E67" i="7" a="1"/>
  <c r="O28" i="7" a="1"/>
  <c r="C99" i="7" a="1"/>
  <c r="C14" i="1" a="1"/>
  <c r="D129" i="7" a="1"/>
  <c r="M81" i="7" a="1"/>
  <c r="O54" i="7" a="1"/>
  <c r="M31" i="1" a="1"/>
  <c r="H84" i="7" a="1"/>
  <c r="G56" i="7" a="1"/>
  <c r="C115" i="7" a="1"/>
  <c r="M112" i="7" a="1"/>
  <c r="L71" i="7" a="1"/>
  <c r="K52" i="7" a="1"/>
  <c r="G12" i="1" a="1"/>
  <c r="I4" i="1" a="1"/>
  <c r="H34" i="1" a="1"/>
  <c r="N87" i="7" a="1"/>
  <c r="C24" i="1" a="1"/>
  <c r="E52" i="7" a="1"/>
  <c r="F56" i="7" a="1"/>
  <c r="N22" i="7" a="1"/>
  <c r="E29" i="7" a="1"/>
  <c r="E13" i="1" a="1"/>
  <c r="H29" i="1" a="1"/>
  <c r="I39" i="1" a="1"/>
  <c r="F8" i="1" a="1"/>
  <c r="M114" i="7" a="1"/>
  <c r="E113" i="7" a="1"/>
  <c r="L35" i="7" a="1"/>
  <c r="O38" i="7" a="1"/>
  <c r="C103" i="7" a="1"/>
  <c r="K21" i="1" a="1"/>
  <c r="D29" i="7" a="1"/>
  <c r="K22" i="1" a="1"/>
  <c r="G9" i="1" a="1"/>
  <c r="I72" i="7" a="1"/>
  <c r="F6" i="7" a="1"/>
  <c r="G132" i="7" a="1"/>
  <c r="L4" i="1" a="1"/>
  <c r="H9" i="7" a="1"/>
  <c r="L26" i="1" a="1"/>
  <c r="N12" i="7" a="1"/>
  <c r="O5" i="7" a="1"/>
  <c r="G4" i="1" a="1"/>
  <c r="K20" i="1" a="1"/>
  <c r="H79" i="7" a="1"/>
  <c r="O74" i="7" a="1"/>
  <c r="N9" i="1" a="1"/>
  <c r="M36" i="1" a="1"/>
  <c r="I6" i="7" a="1"/>
  <c r="G38" i="7" a="1"/>
  <c r="G57" i="7" a="1"/>
  <c r="O21" i="7" a="1"/>
  <c r="M128" i="7" a="1"/>
  <c r="D21" i="1" a="1"/>
  <c r="J119" i="7" a="1"/>
  <c r="H27" i="1" a="1"/>
  <c r="H13" i="7" a="1"/>
  <c r="H6" i="1" a="1"/>
  <c r="F108" i="7" a="1"/>
  <c r="L30" i="7" a="1"/>
  <c r="N4" i="7" a="1"/>
  <c r="O20" i="7" a="1"/>
  <c r="E7" i="1" a="1"/>
  <c r="J33" i="7" a="1"/>
  <c r="C15" i="7" a="1"/>
  <c r="D13" i="1" a="1"/>
  <c r="E17" i="1" a="1"/>
  <c r="L39" i="7" a="1"/>
  <c r="C98" i="7" a="1"/>
  <c r="K79" i="7" a="1"/>
  <c r="K82" i="7" a="1"/>
  <c r="H25" i="7" a="1"/>
  <c r="M7" i="1" a="1"/>
  <c r="O120" i="7" a="1"/>
  <c r="K22" i="7" a="1"/>
  <c r="D77" i="7" a="1"/>
  <c r="J15" i="1" a="1"/>
  <c r="J60" i="7" a="1"/>
  <c r="F33" i="1" a="1"/>
  <c r="H59" i="7" a="1"/>
  <c r="N33" i="7" a="1"/>
  <c r="H10" i="7" a="1"/>
  <c r="N35" i="7" a="1"/>
  <c r="I15" i="7" a="1"/>
  <c r="D22" i="7" a="1"/>
  <c r="J30" i="1" a="1"/>
  <c r="N97" i="7" a="1"/>
  <c r="I73" i="7" a="1"/>
  <c r="I13" i="1" a="1"/>
  <c r="J80" i="7" a="1"/>
  <c r="K10" i="1" a="1"/>
  <c r="K96" i="7" a="1"/>
  <c r="M36" i="7" a="1"/>
  <c r="E122" i="7" a="1"/>
  <c r="K60" i="7" a="1"/>
  <c r="C86" i="7" a="1"/>
  <c r="G79" i="7" a="1"/>
  <c r="I123" i="7" a="1"/>
  <c r="F34" i="7" a="1"/>
  <c r="D40" i="1" a="1"/>
  <c r="G102" i="7" a="1"/>
  <c r="N121" i="7" a="1"/>
  <c r="C33" i="1" a="1"/>
  <c r="K132" i="7" a="1"/>
  <c r="N34" i="7" a="1"/>
  <c r="F132" i="7" a="1"/>
  <c r="N130" i="7" a="1"/>
  <c r="C123" i="7" a="1"/>
  <c r="O111" i="7" a="1"/>
  <c r="D87" i="7" a="1"/>
  <c r="K114" i="7" a="1"/>
  <c r="G104" i="7" a="1"/>
  <c r="D61" i="7" a="1"/>
  <c r="C131" i="7" a="1"/>
  <c r="I28" i="7" a="1"/>
  <c r="G24" i="1" a="1"/>
  <c r="C66" i="7" a="1"/>
  <c r="K18" i="1" a="1"/>
  <c r="N85" i="7" a="1"/>
  <c r="K126" i="7" a="1"/>
  <c r="I68" i="7" a="1"/>
  <c r="F39" i="1" a="1"/>
  <c r="D108" i="7" a="1"/>
  <c r="I128" i="7" a="1"/>
  <c r="D28" i="7" a="1"/>
  <c r="F101" i="7" a="1"/>
  <c r="I54" i="7" a="1"/>
  <c r="D124" i="7" a="1"/>
  <c r="G123" i="7" a="1"/>
  <c r="I130" i="7" a="1"/>
  <c r="H57" i="7" a="1"/>
  <c r="H87" i="7" a="1"/>
  <c r="E79" i="7" a="1"/>
  <c r="K106" i="7" a="1"/>
  <c r="J7" i="1" a="1"/>
  <c r="L16" i="7" a="1"/>
  <c r="H40" i="7" a="1"/>
  <c r="C16" i="7" a="1"/>
  <c r="F30" i="7" a="1"/>
  <c r="O56" i="7" a="1"/>
  <c r="O77" i="7" a="1"/>
  <c r="K39" i="1" a="1"/>
  <c r="C53" i="7" a="1"/>
  <c r="M38" i="1" a="1"/>
  <c r="F75" i="7" a="1"/>
  <c r="M113" i="7" a="1"/>
  <c r="D131" i="7" a="1"/>
  <c r="M75" i="7" a="1"/>
  <c r="D6" i="7" a="1"/>
  <c r="J35" i="7" a="1"/>
  <c r="N37" i="1" a="1"/>
  <c r="H17" i="7" a="1"/>
  <c r="L59" i="7" a="1"/>
  <c r="H22" i="7" a="1"/>
  <c r="K127" i="7" a="1"/>
  <c r="F63" i="7" a="1"/>
  <c r="O123" i="7" a="1"/>
  <c r="J37" i="7" a="1"/>
  <c r="F95" i="7" a="1"/>
  <c r="F111" i="7" a="1"/>
  <c r="I126" i="7" a="1"/>
  <c r="I8" i="1" a="1"/>
  <c r="D99" i="7" a="1"/>
  <c r="H19" i="1" a="1"/>
  <c r="K110" i="7" a="1"/>
  <c r="H68" i="7" a="1"/>
  <c r="N106" i="7" a="1"/>
  <c r="F24" i="1" a="1"/>
  <c r="F15" i="1" a="1"/>
  <c r="F105" i="7" a="1"/>
  <c r="F79" i="7" a="1"/>
  <c r="K63" i="7" a="1"/>
  <c r="J74" i="7" a="1"/>
  <c r="N31" i="1" a="1"/>
  <c r="E97" i="7" a="1"/>
  <c r="H30" i="1" a="1"/>
  <c r="O18" i="7" a="1"/>
  <c r="K8" i="7" a="1"/>
  <c r="E72" i="7" a="1"/>
  <c r="F32" i="7" a="1"/>
  <c r="G41" i="7" a="1"/>
  <c r="N38" i="7" a="1"/>
  <c r="F20" i="7" a="1"/>
  <c r="H103" i="7" a="1"/>
  <c r="F104" i="7" a="1"/>
  <c r="J40" i="1" a="1"/>
  <c r="E5" i="1" a="1"/>
  <c r="N11" i="7" a="1"/>
  <c r="M5" i="7" a="1"/>
  <c r="N40" i="1" a="1"/>
  <c r="H109" i="7" a="1"/>
  <c r="J118" i="7" a="1"/>
  <c r="M68" i="7" a="1"/>
  <c r="J4" i="1" a="1"/>
  <c r="N38" i="1" a="1"/>
  <c r="F84" i="7" a="1"/>
  <c r="K26" i="7" a="1"/>
  <c r="N51" i="7" a="1"/>
  <c r="M9" i="7" a="1"/>
  <c r="F112" i="7" a="1"/>
  <c r="M20" i="7" a="1"/>
  <c r="H33" i="1" a="1"/>
  <c r="H123" i="7" a="1"/>
  <c r="M18" i="1" a="1"/>
  <c r="O8" i="7" a="1"/>
  <c r="E123" i="7" a="1"/>
  <c r="M107" i="7" a="1"/>
  <c r="I101" i="7" a="1"/>
  <c r="O103" i="7" a="1"/>
  <c r="O84" i="7" a="1"/>
  <c r="C67" i="7" a="1"/>
  <c r="C39" i="7" a="1"/>
  <c r="D62" i="7" a="1"/>
  <c r="O101" i="7" a="1"/>
  <c r="L100" i="7" a="1"/>
  <c r="G32" i="7" a="1"/>
  <c r="G73" i="7" a="1"/>
  <c r="N23" i="7" a="1"/>
  <c r="K119" i="7" a="1"/>
  <c r="C117" i="7" a="1"/>
  <c r="C40" i="1" a="1"/>
  <c r="E30" i="1" a="1"/>
  <c r="H64" i="7" a="1"/>
  <c r="N55" i="7" a="1"/>
  <c r="H78" i="7" a="1"/>
  <c r="E70" i="7" a="1"/>
  <c r="M34" i="7" a="1"/>
  <c r="N86" i="7" a="1"/>
  <c r="G66" i="7" a="1"/>
  <c r="G7" i="7" a="1"/>
  <c r="F106" i="7" a="1"/>
  <c r="L29" i="7" a="1"/>
  <c r="G26" i="7" a="1"/>
  <c r="K12" i="7" a="1"/>
  <c r="N27" i="1" a="1"/>
  <c r="N105" i="7" a="1"/>
  <c r="C100" i="7" a="1"/>
  <c r="F65" i="7" a="1"/>
  <c r="L18" i="1" a="1"/>
  <c r="K62" i="7" a="1"/>
  <c r="K10" i="7" a="1"/>
  <c r="E75" i="7" a="1"/>
  <c r="N13" i="1" a="1"/>
  <c r="J109" i="7" a="1"/>
  <c r="H6" i="7" a="1"/>
  <c r="J63" i="7" a="1"/>
  <c r="F29" i="7" a="1"/>
  <c r="F118" i="7" a="1"/>
  <c r="I26" i="7" a="1"/>
  <c r="E56" i="7" a="1"/>
  <c r="N4" i="1" a="1"/>
  <c r="O35" i="7" a="1"/>
  <c r="J97" i="7" a="1"/>
  <c r="H101" i="7" a="1"/>
  <c r="O13" i="7" a="1"/>
  <c r="N33" i="1" a="1"/>
  <c r="C54" i="7" a="1"/>
  <c r="J10" i="7" a="1"/>
  <c r="K35" i="7" a="1"/>
  <c r="F26" i="1" a="1"/>
  <c r="N7" i="1" a="1"/>
  <c r="J11" i="7" a="1"/>
  <c r="J51" i="7" a="1"/>
  <c r="M56" i="7" a="1"/>
  <c r="F80" i="7" a="1"/>
  <c r="L26" i="7" a="1"/>
  <c r="J39" i="7" a="1"/>
  <c r="K109" i="7" a="1"/>
  <c r="G122" i="7" a="1"/>
  <c r="L124" i="7" a="1"/>
  <c r="K78" i="7" a="1"/>
  <c r="H11" i="1" a="1"/>
  <c r="E81" i="7" a="1"/>
  <c r="J28" i="1" a="1"/>
  <c r="C8" i="7" a="1"/>
  <c r="L32" i="7" a="1"/>
  <c r="K14" i="1" a="1"/>
  <c r="G34" i="7" a="1"/>
  <c r="C79" i="7" a="1"/>
  <c r="D126" i="7" a="1"/>
  <c r="D40" i="7" a="1"/>
  <c r="L87" i="7" a="1"/>
  <c r="K23" i="7" a="1"/>
  <c r="E24" i="1" a="1"/>
  <c r="E71" i="7" a="1"/>
  <c r="F86" i="7" a="1"/>
  <c r="F96" i="7" a="1"/>
  <c r="J12" i="1" a="1"/>
  <c r="L66" i="7" a="1"/>
  <c r="H121" i="7" a="1"/>
  <c r="F11" i="1" a="1"/>
  <c r="N129" i="7" a="1"/>
  <c r="D4" i="1" a="1"/>
  <c r="M69" i="7" a="1"/>
  <c r="D34" i="1" a="1"/>
  <c r="I107" i="7" a="1"/>
  <c r="F18" i="7" a="1"/>
  <c r="G35" i="7" a="1"/>
  <c r="F10" i="7" a="1"/>
  <c r="D127" i="7" a="1"/>
  <c r="I30" i="7" a="1"/>
  <c r="J65" i="7" a="1"/>
  <c r="L17" i="7" a="1"/>
  <c r="G8" i="1" a="1"/>
  <c r="I58" i="7" a="1"/>
  <c r="G130" i="7" a="1"/>
  <c r="M25" i="7" a="1"/>
  <c r="I56" i="7" a="1"/>
  <c r="E14" i="1" a="1"/>
  <c r="D121" i="7" a="1"/>
  <c r="L39" i="1" a="1"/>
  <c r="O117" i="7" a="1"/>
  <c r="C63" i="7" a="1"/>
  <c r="F35" i="1" a="1"/>
  <c r="C122" i="7" a="1"/>
  <c r="N23" i="1" a="1"/>
  <c r="H16" i="1" a="1"/>
  <c r="M110" i="7" a="1"/>
  <c r="N122" i="7" a="1"/>
  <c r="M57" i="7" a="1"/>
  <c r="K25" i="7" a="1"/>
  <c r="D36" i="1" a="1"/>
  <c r="E32" i="1" a="1"/>
  <c r="I110" i="7" a="1"/>
  <c r="C64" i="7" a="1"/>
  <c r="D109" i="7" a="1"/>
  <c r="N26" i="1" a="1"/>
  <c r="O25" i="7" a="1"/>
  <c r="C10" i="1" a="1"/>
  <c r="F14" i="1" a="1"/>
  <c r="F19" i="7" a="1"/>
  <c r="C132" i="7" a="1"/>
  <c r="G64" i="7" a="1"/>
  <c r="M27" i="1" a="1"/>
  <c r="D4" i="7" a="1"/>
  <c r="K27" i="1" a="1"/>
  <c r="E103" i="7" a="1"/>
  <c r="L129" i="7" a="1"/>
  <c r="G8" i="7" a="1"/>
  <c r="H39" i="1" a="1"/>
  <c r="N39" i="1" a="1"/>
  <c r="H128" i="7" a="1"/>
  <c r="N120" i="7" a="1"/>
  <c r="H39" i="7" a="1"/>
  <c r="O24" i="7" a="1"/>
  <c r="D34" i="7" a="1"/>
  <c r="C119" i="7" a="1"/>
  <c r="G99" i="7" a="1"/>
  <c r="M77" i="7" a="1"/>
  <c r="I27" i="7" a="1"/>
  <c r="J73" i="7" a="1"/>
  <c r="E33" i="1" a="1"/>
  <c r="H82" i="7" a="1"/>
  <c r="F57" i="7" a="1"/>
  <c r="E66" i="7" a="1"/>
  <c r="I5" i="1" a="1"/>
  <c r="I7" i="1" a="1"/>
  <c r="F110" i="7" a="1"/>
  <c r="F28" i="7" a="1"/>
  <c r="H8" i="7" a="1"/>
  <c r="C28" i="7" a="1"/>
  <c r="G28" i="1" a="1"/>
  <c r="C124" i="7" a="1"/>
  <c r="F67" i="7" a="1"/>
  <c r="F40" i="1" a="1"/>
  <c r="I26" i="1" a="1"/>
  <c r="D78" i="7" a="1"/>
  <c r="L20" i="7" a="1"/>
  <c r="D59" i="7" a="1"/>
  <c r="H13" i="1" a="1"/>
  <c r="E39" i="1" a="1"/>
  <c r="M15" i="7" a="1"/>
  <c r="C71" i="7" a="1"/>
  <c r="F36" i="1" a="1"/>
  <c r="O76" i="7" a="1"/>
  <c r="M95" i="7" a="1"/>
  <c r="M99" i="7" a="1"/>
  <c r="G35" i="1" a="1"/>
  <c r="F85" i="7" a="1"/>
  <c r="N100" i="7" a="1"/>
  <c r="G75" i="7" a="1"/>
  <c r="H26" i="1" a="1"/>
  <c r="I95" i="7" a="1"/>
  <c r="L73" i="7" a="1"/>
  <c r="F129" i="7" a="1"/>
  <c r="I132" i="7" a="1"/>
  <c r="H40" i="1" a="1"/>
  <c r="G110" i="7" a="1"/>
  <c r="E83" i="7" a="1"/>
  <c r="F131" i="7" a="1"/>
  <c r="H7" i="7" a="1"/>
  <c r="M85" i="7" a="1"/>
  <c r="E26" i="1" a="1"/>
  <c r="I8" i="7" a="1"/>
  <c r="D32" i="1" a="1"/>
  <c r="M6" i="7" a="1"/>
  <c r="F22" i="7" a="1"/>
  <c r="G23" i="7" a="1"/>
  <c r="D80" i="7" a="1"/>
  <c r="E9" i="1" a="1"/>
  <c r="N127" i="7" a="1"/>
  <c r="H5" i="1" a="1"/>
  <c r="I27" i="1" a="1"/>
  <c r="G5" i="7" a="1"/>
  <c r="E119" i="7" a="1"/>
  <c r="K113" i="7" a="1"/>
  <c r="D112" i="7" a="1"/>
  <c r="M74" i="7" a="1"/>
  <c r="G74" i="7" a="1"/>
  <c r="H86" i="7" a="1"/>
  <c r="C19" i="1" a="1"/>
  <c r="L14" i="7" a="1"/>
  <c r="L128" i="7" a="1"/>
  <c r="F8" i="7" a="1"/>
  <c r="C33" i="7" a="1"/>
  <c r="J20" i="1" a="1"/>
  <c r="E127" i="7" a="1"/>
  <c r="M28" i="1" a="1"/>
  <c r="D7" i="7" a="1"/>
  <c r="H18" i="1" a="1"/>
  <c r="G119" i="7" a="1"/>
  <c r="I18" i="7" a="1"/>
  <c r="E29" i="1" a="1"/>
  <c r="K68" i="7" a="1"/>
  <c r="K19" i="1" a="1"/>
  <c r="M25" i="1" a="1"/>
  <c r="E111" i="7" a="1"/>
  <c r="F128" i="7" a="1"/>
  <c r="E36" i="1" a="1"/>
  <c r="I10" i="1" a="1"/>
  <c r="N10" i="1" a="1"/>
  <c r="D11" i="1" a="1"/>
  <c r="N103" i="7" a="1"/>
  <c r="J75" i="7" a="1"/>
  <c r="N7" i="7" a="1"/>
  <c r="M66" i="7" a="1"/>
  <c r="G25" i="7" a="1"/>
  <c r="D16" i="7" a="1"/>
  <c r="K30" i="1" a="1"/>
  <c r="I75" i="7" a="1"/>
  <c r="N15" i="1" a="1"/>
  <c r="G128" i="7" a="1"/>
  <c r="D56" i="7" a="1"/>
  <c r="H23" i="7" a="1"/>
  <c r="G32" i="1" a="1"/>
  <c r="J79" i="7" a="1"/>
  <c r="C27" i="1" a="1"/>
  <c r="L132" i="7" a="1"/>
  <c r="F130" i="7" a="1"/>
  <c r="G23" i="1" a="1"/>
  <c r="K32" i="1" a="1"/>
  <c r="D66" i="7" a="1"/>
  <c r="M122" i="7" a="1"/>
  <c r="D75" i="7" a="1"/>
  <c r="H5" i="7" a="1"/>
  <c r="F32" i="1" a="1"/>
  <c r="E12" i="1" a="1"/>
  <c r="O88" i="7" a="1"/>
  <c r="M14" i="1" a="1"/>
  <c r="G124" i="7" a="1"/>
  <c r="N39" i="7" a="1"/>
  <c r="I37" i="1" a="1"/>
  <c r="C120" i="7" a="1"/>
  <c r="I29" i="1" a="1"/>
  <c r="L10" i="7" a="1"/>
  <c r="L38" i="1" a="1"/>
  <c r="L113" i="7" a="1"/>
  <c r="M41" i="1" a="1"/>
  <c r="O67" i="7" a="1"/>
  <c r="K65" i="7" a="1"/>
  <c r="L17" i="1" a="1"/>
  <c r="I21" i="7" a="1"/>
  <c r="E76" i="7" a="1"/>
  <c r="L64" i="7" a="1"/>
  <c r="G36" i="7" a="1"/>
  <c r="C14" i="7" a="1"/>
  <c r="K57" i="7" a="1"/>
  <c r="D26" i="7" a="1"/>
  <c r="N74" i="7" a="1"/>
  <c r="G86" i="7" a="1"/>
  <c r="G15" i="1" a="1"/>
  <c r="D17" i="7" a="1"/>
  <c r="L13" i="7" a="1"/>
  <c r="O69" i="7" a="1"/>
  <c r="G82" i="7" a="1"/>
  <c r="G28" i="7" a="1"/>
  <c r="M106" i="7" a="1"/>
  <c r="O40" i="1" l="1"/>
  <c r="O24" i="1"/>
  <c r="O23" i="1"/>
  <c r="O15" i="1"/>
  <c r="O7" i="1"/>
  <c r="O38" i="1"/>
  <c r="O30" i="1"/>
  <c r="O22" i="1"/>
  <c r="O14" i="1"/>
  <c r="O6" i="1"/>
  <c r="O37" i="1"/>
  <c r="O29" i="1"/>
  <c r="O21" i="1"/>
  <c r="O13" i="1"/>
  <c r="O5" i="1"/>
  <c r="O32" i="1"/>
  <c r="O8" i="1"/>
  <c r="O31" i="1"/>
  <c r="O36" i="1"/>
  <c r="O20" i="1"/>
  <c r="O27" i="1"/>
  <c r="O11" i="1"/>
  <c r="O26" i="1"/>
  <c r="O18" i="1"/>
  <c r="O41" i="1"/>
  <c r="O33" i="1"/>
  <c r="O25" i="1"/>
  <c r="O9" i="1"/>
  <c r="O16" i="1"/>
  <c r="O39" i="1"/>
  <c r="O28" i="1"/>
  <c r="O12" i="1"/>
  <c r="O35" i="1"/>
  <c r="O19" i="1"/>
  <c r="O34" i="1"/>
  <c r="O10" i="1"/>
  <c r="O17" i="1"/>
  <c r="O4" i="1"/>
  <c r="M106" i="7"/>
  <c r="G28" i="7"/>
  <c r="G82" i="7"/>
  <c r="O69" i="7"/>
  <c r="L13" i="7"/>
  <c r="D17" i="7"/>
  <c r="G15" i="1"/>
  <c r="G86" i="7"/>
  <c r="N74" i="7"/>
  <c r="D26" i="7"/>
  <c r="K57" i="7"/>
  <c r="C14" i="7"/>
  <c r="G36" i="7"/>
  <c r="L64" i="7"/>
  <c r="E76" i="7"/>
  <c r="I21" i="7"/>
  <c r="L17" i="1"/>
  <c r="K65" i="7"/>
  <c r="O67" i="7"/>
  <c r="M41" i="1"/>
  <c r="L113" i="7"/>
  <c r="L38" i="1"/>
  <c r="L10" i="7"/>
  <c r="I29" i="1"/>
  <c r="C120" i="7"/>
  <c r="I37" i="1"/>
  <c r="N39" i="7"/>
  <c r="G124" i="7"/>
  <c r="M14" i="1"/>
  <c r="O88" i="7"/>
  <c r="E12" i="1"/>
  <c r="F32" i="1"/>
  <c r="U156" i="7" s="1" a="1"/>
  <c r="U156" i="7" s="1"/>
  <c r="H5" i="7"/>
  <c r="D75" i="7"/>
  <c r="M122" i="7"/>
  <c r="D66" i="7"/>
  <c r="K32" i="1"/>
  <c r="G23" i="1"/>
  <c r="F130" i="7"/>
  <c r="L132" i="7"/>
  <c r="C27" i="1"/>
  <c r="J79" i="7"/>
  <c r="G32" i="1"/>
  <c r="U157" i="7" s="1" a="1"/>
  <c r="U157" i="7" s="1"/>
  <c r="H23" i="7"/>
  <c r="D56" i="7"/>
  <c r="G128" i="7"/>
  <c r="N15" i="1"/>
  <c r="I75" i="7"/>
  <c r="K30" i="1"/>
  <c r="D16" i="7"/>
  <c r="G25" i="7"/>
  <c r="M66" i="7"/>
  <c r="N7" i="7"/>
  <c r="J75" i="7"/>
  <c r="N103" i="7"/>
  <c r="D11" i="1"/>
  <c r="N10" i="1"/>
  <c r="I10" i="1"/>
  <c r="E36" i="1"/>
  <c r="F128" i="7"/>
  <c r="E111" i="7"/>
  <c r="M25" i="1"/>
  <c r="K19" i="1"/>
  <c r="K68" i="7"/>
  <c r="E29" i="1"/>
  <c r="I18" i="7"/>
  <c r="G119" i="7"/>
  <c r="H18" i="1"/>
  <c r="D7" i="7"/>
  <c r="M28" i="1"/>
  <c r="E127" i="7"/>
  <c r="J20" i="1"/>
  <c r="C33" i="7"/>
  <c r="F8" i="7"/>
  <c r="L128" i="7"/>
  <c r="L14" i="7"/>
  <c r="C19" i="1"/>
  <c r="H86" i="7"/>
  <c r="G74" i="7"/>
  <c r="M74" i="7"/>
  <c r="D112" i="7"/>
  <c r="K113" i="7"/>
  <c r="E119" i="7"/>
  <c r="G5" i="7"/>
  <c r="I27" i="1"/>
  <c r="H5" i="1"/>
  <c r="N127" i="7"/>
  <c r="E9" i="1"/>
  <c r="D80" i="7"/>
  <c r="G23" i="7"/>
  <c r="F22" i="7"/>
  <c r="M6" i="7"/>
  <c r="D32" i="1"/>
  <c r="U154" i="7" s="1" a="1"/>
  <c r="U154" i="7" s="1"/>
  <c r="I8" i="7"/>
  <c r="E26" i="1"/>
  <c r="M85" i="7"/>
  <c r="H7" i="7"/>
  <c r="F131" i="7"/>
  <c r="E83" i="7"/>
  <c r="G110" i="7"/>
  <c r="H40" i="1"/>
  <c r="I132" i="7"/>
  <c r="F129" i="7"/>
  <c r="L73" i="7"/>
  <c r="I95" i="7"/>
  <c r="H26" i="1"/>
  <c r="G75" i="7"/>
  <c r="N100" i="7"/>
  <c r="F85" i="7"/>
  <c r="G35" i="1"/>
  <c r="M99" i="7"/>
  <c r="M95" i="7"/>
  <c r="O76" i="7"/>
  <c r="F36" i="1"/>
  <c r="C71" i="7"/>
  <c r="M15" i="7"/>
  <c r="E39" i="1"/>
  <c r="H13" i="1"/>
  <c r="D59" i="7"/>
  <c r="L20" i="7"/>
  <c r="D78" i="7"/>
  <c r="I26" i="1"/>
  <c r="F40" i="1"/>
  <c r="F67" i="7"/>
  <c r="C124" i="7"/>
  <c r="G28" i="1"/>
  <c r="C28" i="7"/>
  <c r="H8" i="7"/>
  <c r="F28" i="7"/>
  <c r="F110" i="7"/>
  <c r="I7" i="1"/>
  <c r="I5" i="1"/>
  <c r="E66" i="7"/>
  <c r="F57" i="7"/>
  <c r="H82" i="7"/>
  <c r="E33" i="1"/>
  <c r="J73" i="7"/>
  <c r="I27" i="7"/>
  <c r="M77" i="7"/>
  <c r="G99" i="7"/>
  <c r="C119" i="7"/>
  <c r="D34" i="7"/>
  <c r="O24" i="7"/>
  <c r="H39" i="7"/>
  <c r="N120" i="7"/>
  <c r="H128" i="7"/>
  <c r="N39" i="1"/>
  <c r="H39" i="1"/>
  <c r="G8" i="7"/>
  <c r="L129" i="7"/>
  <c r="E103" i="7"/>
  <c r="K27" i="1"/>
  <c r="D4" i="7"/>
  <c r="M27" i="1"/>
  <c r="G64" i="7"/>
  <c r="C132" i="7"/>
  <c r="F19" i="7"/>
  <c r="F14" i="1"/>
  <c r="C10" i="1"/>
  <c r="O25" i="7"/>
  <c r="N26" i="1"/>
  <c r="D109" i="7"/>
  <c r="C64" i="7"/>
  <c r="I110" i="7"/>
  <c r="E32" i="1"/>
  <c r="U155" i="7" s="1" a="1"/>
  <c r="U155" i="7" s="1"/>
  <c r="D36" i="1"/>
  <c r="K25" i="7"/>
  <c r="M57" i="7"/>
  <c r="N122" i="7"/>
  <c r="M110" i="7"/>
  <c r="H16" i="1"/>
  <c r="N23" i="1"/>
  <c r="C122" i="7"/>
  <c r="F35" i="1"/>
  <c r="C63" i="7"/>
  <c r="O117" i="7"/>
  <c r="L39" i="1"/>
  <c r="D121" i="7"/>
  <c r="E14" i="1"/>
  <c r="I56" i="7"/>
  <c r="M25" i="7"/>
  <c r="G130" i="7"/>
  <c r="I58" i="7"/>
  <c r="G8" i="1"/>
  <c r="L17" i="7"/>
  <c r="J65" i="7"/>
  <c r="I30" i="7"/>
  <c r="D127" i="7"/>
  <c r="F10" i="7"/>
  <c r="G35" i="7"/>
  <c r="F18" i="7"/>
  <c r="I107" i="7"/>
  <c r="D34" i="1"/>
  <c r="M69" i="7"/>
  <c r="D4" i="1"/>
  <c r="N129" i="7"/>
  <c r="F11" i="1"/>
  <c r="H121" i="7"/>
  <c r="L66" i="7"/>
  <c r="J12" i="1"/>
  <c r="F96" i="7"/>
  <c r="F86" i="7"/>
  <c r="E71" i="7"/>
  <c r="E24" i="1"/>
  <c r="K23" i="7"/>
  <c r="L87" i="7"/>
  <c r="D40" i="7"/>
  <c r="D126" i="7"/>
  <c r="C79" i="7"/>
  <c r="G34" i="7"/>
  <c r="K14" i="1"/>
  <c r="L32" i="7"/>
  <c r="C8" i="7"/>
  <c r="J28" i="1"/>
  <c r="E81" i="7"/>
  <c r="H11" i="1"/>
  <c r="K78" i="7"/>
  <c r="L124" i="7"/>
  <c r="G122" i="7"/>
  <c r="K109" i="7"/>
  <c r="J39" i="7"/>
  <c r="L26" i="7"/>
  <c r="F80" i="7"/>
  <c r="M56" i="7"/>
  <c r="J51" i="7"/>
  <c r="J11" i="7"/>
  <c r="N7" i="1"/>
  <c r="F26" i="1"/>
  <c r="K35" i="7"/>
  <c r="J10" i="7"/>
  <c r="C54" i="7"/>
  <c r="N33" i="1"/>
  <c r="O13" i="7"/>
  <c r="H101" i="7"/>
  <c r="J97" i="7"/>
  <c r="O35" i="7"/>
  <c r="N4" i="1"/>
  <c r="E56" i="7"/>
  <c r="I26" i="7"/>
  <c r="F118" i="7"/>
  <c r="F29" i="7"/>
  <c r="J63" i="7"/>
  <c r="H6" i="7"/>
  <c r="J109" i="7"/>
  <c r="N13" i="1"/>
  <c r="E75" i="7"/>
  <c r="K10" i="7"/>
  <c r="K62" i="7"/>
  <c r="L18" i="1"/>
  <c r="F65" i="7"/>
  <c r="C100" i="7"/>
  <c r="N105" i="7"/>
  <c r="N27" i="1"/>
  <c r="K12" i="7"/>
  <c r="G26" i="7"/>
  <c r="L29" i="7"/>
  <c r="F106" i="7"/>
  <c r="G7" i="7"/>
  <c r="G66" i="7"/>
  <c r="N86" i="7"/>
  <c r="M34" i="7"/>
  <c r="E70" i="7"/>
  <c r="H78" i="7"/>
  <c r="N55" i="7"/>
  <c r="H64" i="7"/>
  <c r="E30" i="1"/>
  <c r="C40" i="1"/>
  <c r="C117" i="7"/>
  <c r="K119" i="7"/>
  <c r="N23" i="7"/>
  <c r="G73" i="7"/>
  <c r="G32" i="7"/>
  <c r="L100" i="7"/>
  <c r="O101" i="7"/>
  <c r="D62" i="7"/>
  <c r="C39" i="7"/>
  <c r="C67" i="7"/>
  <c r="O84" i="7"/>
  <c r="O103" i="7"/>
  <c r="I101" i="7"/>
  <c r="M107" i="7"/>
  <c r="E123" i="7"/>
  <c r="O8" i="7"/>
  <c r="M18" i="1"/>
  <c r="H123" i="7"/>
  <c r="H33" i="1"/>
  <c r="M20" i="7"/>
  <c r="F112" i="7"/>
  <c r="M9" i="7"/>
  <c r="N51" i="7"/>
  <c r="K26" i="7"/>
  <c r="F84" i="7"/>
  <c r="N38" i="1"/>
  <c r="J4" i="1"/>
  <c r="M68" i="7"/>
  <c r="J118" i="7"/>
  <c r="H109" i="7"/>
  <c r="N40" i="1"/>
  <c r="M5" i="7"/>
  <c r="N11" i="7"/>
  <c r="E5" i="1"/>
  <c r="J40" i="1"/>
  <c r="F104" i="7"/>
  <c r="H103" i="7"/>
  <c r="F20" i="7"/>
  <c r="N38" i="7"/>
  <c r="G41" i="7"/>
  <c r="F32" i="7"/>
  <c r="E72" i="7"/>
  <c r="K8" i="7"/>
  <c r="O18" i="7"/>
  <c r="H30" i="1"/>
  <c r="E97" i="7"/>
  <c r="N31" i="1"/>
  <c r="J74" i="7"/>
  <c r="K63" i="7"/>
  <c r="F79" i="7"/>
  <c r="F105" i="7"/>
  <c r="F15" i="1"/>
  <c r="F24" i="1"/>
  <c r="N106" i="7"/>
  <c r="H68" i="7"/>
  <c r="K110" i="7"/>
  <c r="H19" i="1"/>
  <c r="D99" i="7"/>
  <c r="I8" i="1"/>
  <c r="I126" i="7"/>
  <c r="F111" i="7"/>
  <c r="F95" i="7"/>
  <c r="J37" i="7"/>
  <c r="O123" i="7"/>
  <c r="F63" i="7"/>
  <c r="K127" i="7"/>
  <c r="H22" i="7"/>
  <c r="L59" i="7"/>
  <c r="H17" i="7"/>
  <c r="N37" i="1"/>
  <c r="J35" i="7"/>
  <c r="D6" i="7"/>
  <c r="M75" i="7"/>
  <c r="D131" i="7"/>
  <c r="M113" i="7"/>
  <c r="F75" i="7"/>
  <c r="M38" i="1"/>
  <c r="C53" i="7"/>
  <c r="K39" i="1"/>
  <c r="O77" i="7"/>
  <c r="O56" i="7"/>
  <c r="F30" i="7"/>
  <c r="C16" i="7"/>
  <c r="H40" i="7"/>
  <c r="L16" i="7"/>
  <c r="J7" i="1"/>
  <c r="K106" i="7"/>
  <c r="E79" i="7"/>
  <c r="H87" i="7"/>
  <c r="H57" i="7"/>
  <c r="I130" i="7"/>
  <c r="G123" i="7"/>
  <c r="D124" i="7"/>
  <c r="I54" i="7"/>
  <c r="F101" i="7"/>
  <c r="D28" i="7"/>
  <c r="I128" i="7"/>
  <c r="D108" i="7"/>
  <c r="F39" i="1"/>
  <c r="I68" i="7"/>
  <c r="K126" i="7"/>
  <c r="N85" i="7"/>
  <c r="K18" i="1"/>
  <c r="C66" i="7"/>
  <c r="G24" i="1"/>
  <c r="I28" i="7"/>
  <c r="C131" i="7"/>
  <c r="D61" i="7"/>
  <c r="G104" i="7"/>
  <c r="K114" i="7"/>
  <c r="D87" i="7"/>
  <c r="O111" i="7"/>
  <c r="C123" i="7"/>
  <c r="N130" i="7"/>
  <c r="F132" i="7"/>
  <c r="N34" i="7"/>
  <c r="K132" i="7"/>
  <c r="C33" i="1"/>
  <c r="N121" i="7"/>
  <c r="G102" i="7"/>
  <c r="D40" i="1"/>
  <c r="F34" i="7"/>
  <c r="I123" i="7"/>
  <c r="G79" i="7"/>
  <c r="C86" i="7"/>
  <c r="K60" i="7"/>
  <c r="E122" i="7"/>
  <c r="M36" i="7"/>
  <c r="K96" i="7"/>
  <c r="K10" i="1"/>
  <c r="J80" i="7"/>
  <c r="I13" i="1"/>
  <c r="I73" i="7"/>
  <c r="N97" i="7"/>
  <c r="J30" i="1"/>
  <c r="D22" i="7"/>
  <c r="I15" i="7"/>
  <c r="N35" i="7"/>
  <c r="H10" i="7"/>
  <c r="N33" i="7"/>
  <c r="H59" i="7"/>
  <c r="F33" i="1"/>
  <c r="J60" i="7"/>
  <c r="J15" i="1"/>
  <c r="D77" i="7"/>
  <c r="K22" i="7"/>
  <c r="O120" i="7"/>
  <c r="M7" i="1"/>
  <c r="H25" i="7"/>
  <c r="K82" i="7"/>
  <c r="K79" i="7"/>
  <c r="C98" i="7"/>
  <c r="L39" i="7"/>
  <c r="E17" i="1"/>
  <c r="D13" i="1"/>
  <c r="C15" i="7"/>
  <c r="J33" i="7"/>
  <c r="E7" i="1"/>
  <c r="O20" i="7"/>
  <c r="N4" i="7"/>
  <c r="L30" i="7"/>
  <c r="F108" i="7"/>
  <c r="H6" i="1"/>
  <c r="H13" i="7"/>
  <c r="H27" i="1"/>
  <c r="J119" i="7"/>
  <c r="D21" i="1"/>
  <c r="M128" i="7"/>
  <c r="O21" i="7"/>
  <c r="G57" i="7"/>
  <c r="G38" i="7"/>
  <c r="I6" i="7"/>
  <c r="M36" i="1"/>
  <c r="N9" i="1"/>
  <c r="O74" i="7"/>
  <c r="H79" i="7"/>
  <c r="K20" i="1"/>
  <c r="G4" i="1"/>
  <c r="O5" i="7"/>
  <c r="N12" i="7"/>
  <c r="L26" i="1"/>
  <c r="H9" i="7"/>
  <c r="L4" i="1"/>
  <c r="G132" i="7"/>
  <c r="F6" i="7"/>
  <c r="I72" i="7"/>
  <c r="G9" i="1"/>
  <c r="K22" i="1"/>
  <c r="D29" i="7"/>
  <c r="K21" i="1"/>
  <c r="C103" i="7"/>
  <c r="O38" i="7"/>
  <c r="L35" i="7"/>
  <c r="E113" i="7"/>
  <c r="M114" i="7"/>
  <c r="F8" i="1"/>
  <c r="I39" i="1"/>
  <c r="H29" i="1"/>
  <c r="E13" i="1"/>
  <c r="E29" i="7"/>
  <c r="N22" i="7"/>
  <c r="F56" i="7"/>
  <c r="E52" i="7"/>
  <c r="C24" i="1"/>
  <c r="N87" i="7"/>
  <c r="H34" i="1"/>
  <c r="I4" i="1"/>
  <c r="G12" i="1"/>
  <c r="K52" i="7"/>
  <c r="L71" i="7"/>
  <c r="M112" i="7"/>
  <c r="C115" i="7"/>
  <c r="G56" i="7"/>
  <c r="H84" i="7"/>
  <c r="M31" i="1"/>
  <c r="O54" i="7"/>
  <c r="M81" i="7"/>
  <c r="D129" i="7"/>
  <c r="C14" i="1"/>
  <c r="C99" i="7"/>
  <c r="O28" i="7"/>
  <c r="E67" i="7"/>
  <c r="L33" i="7"/>
  <c r="E59" i="7"/>
  <c r="F36" i="7"/>
  <c r="K70" i="7"/>
  <c r="M124" i="7"/>
  <c r="K37" i="1"/>
  <c r="E23" i="1"/>
  <c r="L131" i="7"/>
  <c r="L58" i="7"/>
  <c r="I14" i="1"/>
  <c r="M7" i="7"/>
  <c r="G13" i="1"/>
  <c r="N29" i="7"/>
  <c r="G129" i="7"/>
  <c r="C20" i="1"/>
  <c r="N132" i="7"/>
  <c r="E23" i="7"/>
  <c r="L121" i="7"/>
  <c r="E69" i="7"/>
  <c r="M17" i="7"/>
  <c r="H28" i="1"/>
  <c r="M40" i="7"/>
  <c r="K74" i="7"/>
  <c r="H7" i="1"/>
  <c r="G52" i="7"/>
  <c r="C8" i="1"/>
  <c r="I23" i="1"/>
  <c r="D35" i="1"/>
  <c r="C76" i="7"/>
  <c r="M103" i="7"/>
  <c r="F114" i="7"/>
  <c r="D123" i="7"/>
  <c r="F17" i="1"/>
  <c r="C11" i="1"/>
  <c r="E37" i="1"/>
  <c r="O75" i="7"/>
  <c r="F83" i="7"/>
  <c r="L34" i="7"/>
  <c r="H83" i="7"/>
  <c r="J17" i="7"/>
  <c r="M38" i="7"/>
  <c r="M102" i="7"/>
  <c r="H97" i="7"/>
  <c r="C31" i="1"/>
  <c r="I32" i="7"/>
  <c r="K16" i="1"/>
  <c r="I59" i="7"/>
  <c r="K84" i="7"/>
  <c r="J55" i="7"/>
  <c r="L19" i="1"/>
  <c r="F34" i="1"/>
  <c r="G31" i="7"/>
  <c r="O19" i="7"/>
  <c r="H71" i="7"/>
  <c r="D57" i="7"/>
  <c r="C88" i="7"/>
  <c r="K95" i="7"/>
  <c r="O31" i="7"/>
  <c r="F107" i="7"/>
  <c r="L105" i="7"/>
  <c r="I33" i="7"/>
  <c r="O29" i="7"/>
  <c r="L95" i="7"/>
  <c r="D30" i="1"/>
  <c r="M76" i="7"/>
  <c r="J126" i="7"/>
  <c r="D27" i="7"/>
  <c r="E36" i="7"/>
  <c r="M11" i="1"/>
  <c r="M78" i="7"/>
  <c r="N125" i="7"/>
  <c r="J25" i="7"/>
  <c r="J12" i="7"/>
  <c r="M119" i="7"/>
  <c r="G11" i="7"/>
  <c r="F122" i="7"/>
  <c r="M132" i="7"/>
  <c r="L9" i="7"/>
  <c r="G116" i="7"/>
  <c r="I76" i="7"/>
  <c r="C109" i="7"/>
  <c r="O78" i="7"/>
  <c r="F123" i="7"/>
  <c r="N112" i="7"/>
  <c r="G37" i="7"/>
  <c r="O95" i="7"/>
  <c r="F69" i="7"/>
  <c r="F40" i="7"/>
  <c r="M4" i="1"/>
  <c r="G117" i="7"/>
  <c r="N17" i="1"/>
  <c r="O106" i="7"/>
  <c r="M27" i="7"/>
  <c r="G15" i="7"/>
  <c r="O104" i="7"/>
  <c r="K28" i="7"/>
  <c r="G41" i="1"/>
  <c r="M21" i="7"/>
  <c r="J13" i="1"/>
  <c r="E7" i="7"/>
  <c r="F29" i="1"/>
  <c r="K40" i="7"/>
  <c r="O59" i="7"/>
  <c r="I100" i="7"/>
  <c r="L74" i="7"/>
  <c r="C39" i="1"/>
  <c r="J18" i="1"/>
  <c r="D37" i="1"/>
  <c r="M28" i="7"/>
  <c r="H58" i="7"/>
  <c r="L9" i="1"/>
  <c r="M52" i="7"/>
  <c r="C34" i="7"/>
  <c r="N117" i="7"/>
  <c r="F11" i="7"/>
  <c r="K7" i="7"/>
  <c r="H76" i="7"/>
  <c r="K111" i="7"/>
  <c r="N73" i="7"/>
  <c r="I24" i="1"/>
  <c r="I70" i="7"/>
  <c r="M23" i="1"/>
  <c r="C7" i="1"/>
  <c r="N54" i="7"/>
  <c r="K28" i="1"/>
  <c r="H115" i="7"/>
  <c r="N14" i="7"/>
  <c r="L23" i="7"/>
  <c r="G34" i="1"/>
  <c r="N98" i="7"/>
  <c r="O132" i="7"/>
  <c r="M123" i="7"/>
  <c r="H38" i="7"/>
  <c r="K108" i="7"/>
  <c r="K34" i="7"/>
  <c r="D25" i="1"/>
  <c r="C60" i="7"/>
  <c r="L41" i="1"/>
  <c r="C4" i="1"/>
  <c r="O118" i="7"/>
  <c r="D122" i="7"/>
  <c r="G103" i="7"/>
  <c r="D21" i="7"/>
  <c r="D114" i="7"/>
  <c r="D5" i="7"/>
  <c r="E8" i="1"/>
  <c r="D38" i="1"/>
  <c r="J21" i="1"/>
  <c r="L25" i="7"/>
  <c r="M8" i="7"/>
  <c r="H122" i="7"/>
  <c r="N57" i="7"/>
  <c r="G96" i="7"/>
  <c r="O11" i="7"/>
  <c r="C10" i="7"/>
  <c r="H55" i="7"/>
  <c r="N21" i="7"/>
  <c r="J103" i="7"/>
  <c r="E55" i="7"/>
  <c r="K59" i="7"/>
  <c r="D58" i="7"/>
  <c r="I74" i="7"/>
  <c r="K6" i="1"/>
  <c r="C15" i="1"/>
  <c r="H106" i="7"/>
  <c r="M37" i="1"/>
  <c r="K124" i="7"/>
  <c r="H80" i="7"/>
  <c r="E61" i="7"/>
  <c r="G38" i="1"/>
  <c r="I120" i="7"/>
  <c r="J52" i="7"/>
  <c r="H19" i="7"/>
  <c r="N111" i="7"/>
  <c r="G55" i="7"/>
  <c r="K24" i="1"/>
  <c r="E16" i="1"/>
  <c r="F99" i="7"/>
  <c r="M115" i="7"/>
  <c r="K51" i="7"/>
  <c r="N5" i="7"/>
  <c r="C9" i="7"/>
  <c r="E33" i="7"/>
  <c r="L28" i="7"/>
  <c r="C52" i="7"/>
  <c r="I38" i="1"/>
  <c r="J98" i="7"/>
  <c r="J8" i="7"/>
  <c r="I12" i="7"/>
  <c r="L8" i="7"/>
  <c r="H105" i="7"/>
  <c r="E121" i="7"/>
  <c r="M13" i="1"/>
  <c r="M24" i="1"/>
  <c r="J107" i="7"/>
  <c r="I25" i="7"/>
  <c r="N13" i="7"/>
  <c r="H96" i="7"/>
  <c r="D96" i="7"/>
  <c r="L75" i="7"/>
  <c r="E22" i="1"/>
  <c r="O87" i="7"/>
  <c r="L40" i="1"/>
  <c r="N8" i="1"/>
  <c r="F103" i="7"/>
  <c r="I102" i="7"/>
  <c r="C26" i="1"/>
  <c r="I13" i="7"/>
  <c r="O98" i="7"/>
  <c r="K16" i="7"/>
  <c r="I40" i="7"/>
  <c r="O127" i="7"/>
  <c r="H51" i="7"/>
  <c r="C55" i="7"/>
  <c r="D24" i="7"/>
  <c r="J129" i="7"/>
  <c r="C5" i="7"/>
  <c r="J19" i="7"/>
  <c r="H41" i="7"/>
  <c r="O9" i="7"/>
  <c r="M26" i="7"/>
  <c r="D100" i="7"/>
  <c r="C30" i="7"/>
  <c r="L97" i="7"/>
  <c r="M30" i="7"/>
  <c r="C85" i="7"/>
  <c r="K15" i="7"/>
  <c r="C110" i="7"/>
  <c r="H24" i="7"/>
  <c r="M39" i="7"/>
  <c r="E110" i="7"/>
  <c r="G76" i="7"/>
  <c r="L107" i="7"/>
  <c r="N126" i="7"/>
  <c r="H60" i="7"/>
  <c r="C27" i="7"/>
  <c r="L53" i="7"/>
  <c r="L41" i="7"/>
  <c r="F23" i="1"/>
  <c r="N25" i="1"/>
  <c r="O64" i="7"/>
  <c r="J111" i="7"/>
  <c r="M11" i="7"/>
  <c r="E74" i="7"/>
  <c r="G59" i="7"/>
  <c r="D119" i="7"/>
  <c r="F35" i="7"/>
  <c r="L125" i="7"/>
  <c r="L127" i="7"/>
  <c r="D76" i="7"/>
  <c r="D25" i="7"/>
  <c r="H35" i="7"/>
  <c r="E28" i="1"/>
  <c r="F37" i="7"/>
  <c r="G29" i="7"/>
  <c r="K33" i="1"/>
  <c r="H70" i="7"/>
  <c r="K61" i="7"/>
  <c r="O130" i="7"/>
  <c r="O122" i="7"/>
  <c r="O113" i="7"/>
  <c r="G62" i="7"/>
  <c r="L15" i="1"/>
  <c r="D101" i="7"/>
  <c r="J11" i="1"/>
  <c r="E58" i="7"/>
  <c r="F51" i="7"/>
  <c r="D115" i="7"/>
  <c r="M84" i="7"/>
  <c r="N128" i="7"/>
  <c r="J83" i="7"/>
  <c r="I64" i="7"/>
  <c r="N68" i="7"/>
  <c r="K125" i="7"/>
  <c r="H23" i="1"/>
  <c r="O97" i="7"/>
  <c r="C31" i="7"/>
  <c r="J78" i="7"/>
  <c r="N6" i="7"/>
  <c r="N16" i="7"/>
  <c r="J59" i="7"/>
  <c r="H17" i="1"/>
  <c r="K36" i="7"/>
  <c r="E130" i="7"/>
  <c r="N96" i="7"/>
  <c r="J6" i="7"/>
  <c r="J40" i="7"/>
  <c r="M13" i="7"/>
  <c r="H54" i="7"/>
  <c r="L85" i="7"/>
  <c r="C80" i="7"/>
  <c r="K32" i="7"/>
  <c r="J112" i="7"/>
  <c r="M18" i="7"/>
  <c r="F31" i="7"/>
  <c r="H15" i="1"/>
  <c r="K123" i="7"/>
  <c r="J14" i="7"/>
  <c r="L30" i="1"/>
  <c r="J84" i="7"/>
  <c r="M10" i="1"/>
  <c r="J32" i="1"/>
  <c r="L12" i="1"/>
  <c r="N108" i="7"/>
  <c r="G18" i="7"/>
  <c r="E18" i="7"/>
  <c r="E54" i="7"/>
  <c r="I11" i="1"/>
  <c r="E28" i="7"/>
  <c r="M14" i="7"/>
  <c r="M24" i="7"/>
  <c r="C36" i="1"/>
  <c r="G101" i="7"/>
  <c r="C114" i="7"/>
  <c r="H113" i="7"/>
  <c r="G114" i="7"/>
  <c r="G24" i="7"/>
  <c r="H31" i="1"/>
  <c r="J76" i="7"/>
  <c r="E30" i="7"/>
  <c r="H4" i="7"/>
  <c r="E124" i="7"/>
  <c r="H110" i="7"/>
  <c r="N77" i="7"/>
  <c r="C32" i="1"/>
  <c r="U153" i="7" s="1" a="1"/>
  <c r="U153" i="7" s="1"/>
  <c r="O81" i="7"/>
  <c r="F61" i="7"/>
  <c r="O66" i="7"/>
  <c r="M19" i="1"/>
  <c r="I7" i="7"/>
  <c r="M104" i="7"/>
  <c r="M31" i="7"/>
  <c r="E31" i="7"/>
  <c r="E17" i="7"/>
  <c r="L22" i="7"/>
  <c r="I31" i="1"/>
  <c r="I16" i="7"/>
  <c r="J100" i="7"/>
  <c r="J38" i="7"/>
  <c r="C21" i="7"/>
  <c r="N116" i="7"/>
  <c r="F15" i="7"/>
  <c r="L13" i="1"/>
  <c r="L11" i="7"/>
  <c r="H24" i="1"/>
  <c r="F120" i="7"/>
  <c r="G58" i="7"/>
  <c r="N123" i="7"/>
  <c r="L86" i="7"/>
  <c r="E25" i="1"/>
  <c r="I14" i="7"/>
  <c r="F87" i="7"/>
  <c r="E11" i="7"/>
  <c r="O6" i="7"/>
  <c r="H98" i="7"/>
  <c r="I117" i="7"/>
  <c r="L51" i="7"/>
  <c r="F119" i="7"/>
  <c r="E129" i="7"/>
  <c r="G53" i="7"/>
  <c r="H100" i="7"/>
  <c r="M19" i="7"/>
  <c r="O39" i="7"/>
  <c r="J26" i="1"/>
  <c r="I103" i="7"/>
  <c r="O30" i="7"/>
  <c r="G20" i="1"/>
  <c r="K38" i="1"/>
  <c r="D16" i="1"/>
  <c r="M131" i="7"/>
  <c r="M120" i="7"/>
  <c r="G125" i="7"/>
  <c r="K33" i="7"/>
  <c r="J28" i="7"/>
  <c r="J5" i="7"/>
  <c r="F28" i="1"/>
  <c r="J41" i="7"/>
  <c r="G20" i="7"/>
  <c r="D33" i="1"/>
  <c r="K5" i="1"/>
  <c r="N35" i="1"/>
  <c r="F7" i="1"/>
  <c r="O105" i="7"/>
  <c r="H12" i="1"/>
  <c r="L7" i="7"/>
  <c r="G13" i="7"/>
  <c r="J34" i="7"/>
  <c r="E10" i="1"/>
  <c r="M32" i="7"/>
  <c r="N10" i="7"/>
  <c r="C101" i="7"/>
  <c r="C20" i="7"/>
  <c r="E131" i="7"/>
  <c r="M33" i="1"/>
  <c r="N75" i="7"/>
  <c r="L24" i="7"/>
  <c r="K101" i="7"/>
  <c r="F115" i="7"/>
  <c r="H125" i="7"/>
  <c r="I35" i="7"/>
  <c r="L18" i="7"/>
  <c r="O114" i="7"/>
  <c r="G85" i="7"/>
  <c r="O14" i="7"/>
  <c r="I82" i="7"/>
  <c r="J19" i="1"/>
  <c r="C26" i="7"/>
  <c r="I131" i="7"/>
  <c r="E116" i="7"/>
  <c r="M61" i="7"/>
  <c r="L38" i="7"/>
  <c r="C37" i="7"/>
  <c r="I127" i="7"/>
  <c r="M116" i="7"/>
  <c r="G40" i="1"/>
  <c r="C38" i="1"/>
  <c r="G10" i="1"/>
  <c r="G131" i="7"/>
  <c r="K18" i="7"/>
  <c r="C70" i="7"/>
  <c r="L101" i="7"/>
  <c r="H9" i="1"/>
  <c r="F9" i="1"/>
  <c r="K17" i="7"/>
  <c r="C37" i="1"/>
  <c r="E60" i="7"/>
  <c r="H111" i="7"/>
  <c r="O73" i="7"/>
  <c r="M105" i="7"/>
  <c r="M30" i="1"/>
  <c r="I32" i="1"/>
  <c r="U159" i="7" s="1" a="1"/>
  <c r="U159" i="7" s="1"/>
  <c r="K5" i="7"/>
  <c r="O131" i="7"/>
  <c r="L62" i="7"/>
  <c r="K130" i="7"/>
  <c r="E95" i="7"/>
  <c r="C128" i="7"/>
  <c r="O57" i="7"/>
  <c r="O58" i="7"/>
  <c r="I71" i="7"/>
  <c r="G113" i="7"/>
  <c r="D103" i="7"/>
  <c r="E40" i="7"/>
  <c r="E11" i="1"/>
  <c r="M82" i="7"/>
  <c r="M87" i="7"/>
  <c r="M67" i="7"/>
  <c r="H28" i="7"/>
  <c r="I125" i="7"/>
  <c r="H126" i="7"/>
  <c r="C41" i="7"/>
  <c r="O33" i="7"/>
  <c r="I85" i="7"/>
  <c r="N131" i="7"/>
  <c r="C35" i="7"/>
  <c r="C56" i="7"/>
  <c r="J38" i="1"/>
  <c r="I113" i="7"/>
  <c r="E96" i="7"/>
  <c r="C65" i="7"/>
  <c r="K34" i="1"/>
  <c r="M35" i="1"/>
  <c r="C111" i="7"/>
  <c r="M73" i="7"/>
  <c r="N72" i="7"/>
  <c r="N18" i="7"/>
  <c r="L31" i="7"/>
  <c r="C62" i="7"/>
  <c r="F127" i="7"/>
  <c r="N24" i="1"/>
  <c r="F4" i="7"/>
  <c r="K72" i="7"/>
  <c r="N34" i="1"/>
  <c r="F98" i="7"/>
  <c r="F25" i="7"/>
  <c r="G16" i="1"/>
  <c r="J7" i="7"/>
  <c r="N27" i="7"/>
  <c r="G37" i="1"/>
  <c r="K104" i="7"/>
  <c r="K29" i="1"/>
  <c r="C11" i="7"/>
  <c r="H34" i="7"/>
  <c r="N78" i="7"/>
  <c r="I78" i="7"/>
  <c r="F117" i="7"/>
  <c r="G109" i="7"/>
  <c r="H31" i="7"/>
  <c r="F109" i="7"/>
  <c r="F53" i="7"/>
  <c r="G17" i="1"/>
  <c r="D52" i="7"/>
  <c r="L11" i="1"/>
  <c r="E77" i="7"/>
  <c r="G19" i="7"/>
  <c r="D27" i="1"/>
  <c r="G17" i="7"/>
  <c r="N53" i="7"/>
  <c r="L78" i="7"/>
  <c r="C57" i="7"/>
  <c r="O23" i="7"/>
  <c r="I6" i="1"/>
  <c r="C36" i="7"/>
  <c r="J82" i="7"/>
  <c r="D33" i="7"/>
  <c r="C22" i="1"/>
  <c r="K39" i="7"/>
  <c r="J22" i="1"/>
  <c r="O112" i="7"/>
  <c r="H118" i="7"/>
  <c r="C28" i="1"/>
  <c r="L102" i="7"/>
  <c r="G14" i="7"/>
  <c r="I22" i="1"/>
  <c r="J67" i="7"/>
  <c r="F66" i="7"/>
  <c r="N104" i="7"/>
  <c r="M58" i="7"/>
  <c r="G98" i="7"/>
  <c r="F73" i="7"/>
  <c r="E34" i="1"/>
  <c r="C78" i="7"/>
  <c r="C24" i="7"/>
  <c r="K11" i="7"/>
  <c r="J88" i="7"/>
  <c r="L110" i="7"/>
  <c r="M33" i="7"/>
  <c r="I77" i="7"/>
  <c r="L15" i="7"/>
  <c r="I23" i="7"/>
  <c r="J115" i="7"/>
  <c r="H4" i="1"/>
  <c r="I40" i="1"/>
  <c r="K98" i="7"/>
  <c r="J27" i="7"/>
  <c r="C40" i="7"/>
  <c r="I111" i="7"/>
  <c r="K4" i="1"/>
  <c r="G40" i="7"/>
  <c r="E82" i="7"/>
  <c r="L40" i="7"/>
  <c r="C32" i="7"/>
  <c r="G100" i="7"/>
  <c r="H129" i="7"/>
  <c r="C130" i="7"/>
  <c r="J23" i="7"/>
  <c r="E9" i="7"/>
  <c r="L83" i="7"/>
  <c r="H41" i="1"/>
  <c r="K131" i="7"/>
  <c r="F5" i="7"/>
  <c r="E32" i="7"/>
  <c r="M88" i="7"/>
  <c r="M53" i="7"/>
  <c r="N40" i="7"/>
  <c r="H117" i="7"/>
  <c r="G121" i="7"/>
  <c r="I25" i="1"/>
  <c r="N6" i="1"/>
  <c r="G5" i="1"/>
  <c r="O10" i="7"/>
  <c r="M109" i="7"/>
  <c r="C59" i="7"/>
  <c r="D19" i="7"/>
  <c r="J117" i="7"/>
  <c r="J24" i="7"/>
  <c r="N29" i="1"/>
  <c r="D29" i="1"/>
  <c r="J9" i="1"/>
  <c r="I79" i="7"/>
  <c r="K67" i="7"/>
  <c r="J23" i="1"/>
  <c r="L130" i="7"/>
  <c r="N21" i="1"/>
  <c r="J64" i="7"/>
  <c r="O80" i="7"/>
  <c r="N16" i="1"/>
  <c r="N110" i="7"/>
  <c r="E21" i="7"/>
  <c r="N17" i="7"/>
  <c r="D20" i="1"/>
  <c r="K122" i="7"/>
  <c r="C83" i="7"/>
  <c r="H25" i="1"/>
  <c r="D105" i="7"/>
  <c r="O115" i="7"/>
  <c r="E101" i="7"/>
  <c r="D30" i="7"/>
  <c r="L21" i="1"/>
  <c r="J81" i="7"/>
  <c r="D14" i="1"/>
  <c r="G115" i="7"/>
  <c r="O12" i="7"/>
  <c r="M72" i="7"/>
  <c r="G84" i="7"/>
  <c r="F124" i="7"/>
  <c r="D8" i="1"/>
  <c r="O129" i="7"/>
  <c r="K55" i="7"/>
  <c r="L61" i="7"/>
  <c r="L109" i="7"/>
  <c r="N41" i="1"/>
  <c r="N70" i="7"/>
  <c r="F20" i="1"/>
  <c r="D23" i="7"/>
  <c r="O53" i="7"/>
  <c r="D98" i="7"/>
  <c r="D15" i="7"/>
  <c r="M130" i="7"/>
  <c r="I36" i="1"/>
  <c r="K97" i="7"/>
  <c r="L67" i="7"/>
  <c r="K86" i="7"/>
  <c r="K14" i="7"/>
  <c r="E12" i="7"/>
  <c r="H61" i="7"/>
  <c r="L19" i="7"/>
  <c r="E115" i="7"/>
  <c r="C12" i="7"/>
  <c r="J31" i="1"/>
  <c r="J132" i="7"/>
  <c r="I112" i="7"/>
  <c r="F55" i="7"/>
  <c r="D41" i="7"/>
  <c r="M26" i="1"/>
  <c r="H35" i="1"/>
  <c r="G97" i="7"/>
  <c r="K129" i="7"/>
  <c r="E4" i="7"/>
  <c r="K117" i="7"/>
  <c r="H53" i="7"/>
  <c r="G69" i="7"/>
  <c r="N101" i="7"/>
  <c r="C30" i="1"/>
  <c r="M35" i="7"/>
  <c r="L84" i="7"/>
  <c r="C95" i="7"/>
  <c r="J36" i="1"/>
  <c r="F9" i="7"/>
  <c r="O26" i="7"/>
  <c r="F64" i="7"/>
  <c r="L36" i="7"/>
  <c r="C96" i="7"/>
  <c r="F16" i="1"/>
  <c r="F58" i="7"/>
  <c r="I87" i="7"/>
  <c r="J66" i="7"/>
  <c r="H67" i="7"/>
  <c r="O109" i="7"/>
  <c r="K58" i="7"/>
  <c r="L33" i="1"/>
  <c r="C87" i="7"/>
  <c r="J113" i="7"/>
  <c r="F100" i="7"/>
  <c r="O126" i="7"/>
  <c r="I39" i="7"/>
  <c r="K21" i="7"/>
  <c r="N61" i="7"/>
  <c r="F37" i="1"/>
  <c r="D53" i="7"/>
  <c r="O16" i="7"/>
  <c r="J86" i="7"/>
  <c r="O62" i="7"/>
  <c r="I38" i="7"/>
  <c r="K54" i="7"/>
  <c r="E13" i="7"/>
  <c r="K12" i="1"/>
  <c r="J123" i="7"/>
  <c r="F23" i="7"/>
  <c r="I129" i="7"/>
  <c r="N83" i="7"/>
  <c r="L20" i="1"/>
  <c r="F54" i="7"/>
  <c r="L126" i="7"/>
  <c r="F97" i="7"/>
  <c r="O7" i="7"/>
  <c r="D84" i="7"/>
  <c r="L70" i="7"/>
  <c r="G111" i="7"/>
  <c r="E108" i="7"/>
  <c r="G78" i="7"/>
  <c r="I41" i="7"/>
  <c r="J102" i="7"/>
  <c r="E112" i="7"/>
  <c r="L65" i="7"/>
  <c r="I31" i="7"/>
  <c r="G10" i="7"/>
  <c r="M54" i="7"/>
  <c r="O61" i="7"/>
  <c r="F125" i="7"/>
  <c r="L32" i="1"/>
  <c r="E65" i="7"/>
  <c r="N32" i="7"/>
  <c r="C38" i="7"/>
  <c r="E34" i="7"/>
  <c r="E10" i="7"/>
  <c r="I11" i="7"/>
  <c r="H15" i="7"/>
  <c r="J104" i="7"/>
  <c r="C12" i="1"/>
  <c r="F27" i="1"/>
  <c r="H26" i="7"/>
  <c r="D41" i="1"/>
  <c r="O71" i="7"/>
  <c r="E37" i="7"/>
  <c r="I12" i="1"/>
  <c r="I66" i="7"/>
  <c r="D64" i="7"/>
  <c r="I106" i="7"/>
  <c r="J106" i="7"/>
  <c r="F82" i="7"/>
  <c r="D13" i="7"/>
  <c r="D63" i="7"/>
  <c r="D72" i="7"/>
  <c r="C51" i="7"/>
  <c r="H37" i="1"/>
  <c r="I67" i="7"/>
  <c r="E86" i="7"/>
  <c r="L69" i="7"/>
  <c r="E24" i="7"/>
  <c r="C18" i="7"/>
  <c r="K66" i="7"/>
  <c r="N19" i="7"/>
  <c r="K116" i="7"/>
  <c r="G51" i="7"/>
  <c r="O4" i="7"/>
  <c r="J71" i="7"/>
  <c r="O110" i="7"/>
  <c r="J99" i="7"/>
  <c r="L31" i="1"/>
  <c r="J32" i="7"/>
  <c r="I30" i="1"/>
  <c r="E98" i="7"/>
  <c r="D65" i="7"/>
  <c r="M70" i="7"/>
  <c r="D85" i="7"/>
  <c r="G72" i="7"/>
  <c r="M5" i="1"/>
  <c r="I122" i="7"/>
  <c r="M23" i="7"/>
  <c r="D36" i="7"/>
  <c r="H56" i="7"/>
  <c r="G60" i="7"/>
  <c r="L118" i="7"/>
  <c r="M8" i="1"/>
  <c r="L10" i="1"/>
  <c r="H107" i="7"/>
  <c r="C61" i="7"/>
  <c r="M22" i="1"/>
  <c r="J62" i="7"/>
  <c r="E53" i="7"/>
  <c r="J105" i="7"/>
  <c r="E35" i="1"/>
  <c r="M79" i="7"/>
  <c r="K4" i="7"/>
  <c r="E109" i="7"/>
  <c r="J57" i="7"/>
  <c r="H124" i="7"/>
  <c r="J120" i="7"/>
  <c r="N12" i="1"/>
  <c r="K40" i="1"/>
  <c r="J13" i="7"/>
  <c r="N80" i="7"/>
  <c r="J10" i="1"/>
  <c r="D26" i="1"/>
  <c r="K112" i="7"/>
  <c r="N65" i="7"/>
  <c r="C7" i="7"/>
  <c r="M118" i="7"/>
  <c r="C9" i="1"/>
  <c r="E19" i="1"/>
  <c r="M29" i="7"/>
  <c r="J69" i="7"/>
  <c r="M41" i="7"/>
  <c r="K24" i="7"/>
  <c r="H81" i="7"/>
  <c r="H18" i="7"/>
  <c r="N41" i="7"/>
  <c r="H108" i="7"/>
  <c r="K23" i="1"/>
  <c r="L21" i="7"/>
  <c r="I116" i="7"/>
  <c r="C105" i="7"/>
  <c r="N113" i="7"/>
  <c r="F59" i="7"/>
  <c r="H114" i="7"/>
  <c r="H8" i="1"/>
  <c r="L63" i="7"/>
  <c r="H10" i="1"/>
  <c r="I118" i="7"/>
  <c r="I61" i="7"/>
  <c r="L25" i="1"/>
  <c r="M34" i="1"/>
  <c r="I97" i="7"/>
  <c r="C129" i="7"/>
  <c r="O83" i="7"/>
  <c r="J121" i="7"/>
  <c r="E62" i="7"/>
  <c r="K17" i="1"/>
  <c r="O32" i="7"/>
  <c r="D31" i="7"/>
  <c r="D113" i="7"/>
  <c r="J35" i="1"/>
  <c r="N37" i="7"/>
  <c r="N69" i="7"/>
  <c r="N28" i="7"/>
  <c r="C41" i="1"/>
  <c r="D11" i="7"/>
  <c r="K11" i="1"/>
  <c r="N8" i="7"/>
  <c r="J41" i="1"/>
  <c r="M71" i="7"/>
  <c r="N67" i="7"/>
  <c r="J114" i="7"/>
  <c r="F6" i="1"/>
  <c r="K75" i="7"/>
  <c r="N15" i="7"/>
  <c r="J27" i="1"/>
  <c r="H16" i="7"/>
  <c r="G126" i="7"/>
  <c r="K81" i="7"/>
  <c r="O99" i="7"/>
  <c r="H95" i="7"/>
  <c r="C19" i="7"/>
  <c r="E104" i="7"/>
  <c r="K73" i="7"/>
  <c r="K41" i="7"/>
  <c r="C72" i="7"/>
  <c r="H77" i="7"/>
  <c r="I9" i="7"/>
  <c r="H52" i="7"/>
  <c r="D10" i="1"/>
  <c r="E20" i="1"/>
  <c r="I83" i="7"/>
  <c r="F22" i="1"/>
  <c r="L76" i="7"/>
  <c r="I60" i="7"/>
  <c r="F126" i="7"/>
  <c r="G21" i="7"/>
  <c r="N56" i="7"/>
  <c r="E6" i="7"/>
  <c r="G30" i="1"/>
  <c r="O63" i="7"/>
  <c r="I10" i="7"/>
  <c r="N79" i="7"/>
  <c r="O60" i="7"/>
  <c r="D6" i="1"/>
  <c r="G6" i="7"/>
  <c r="F12" i="1"/>
  <c r="N19" i="1"/>
  <c r="N119" i="7"/>
  <c r="D22" i="1"/>
  <c r="G36" i="1"/>
  <c r="D7" i="1"/>
  <c r="G27" i="7"/>
  <c r="J61" i="7"/>
  <c r="E35" i="7"/>
  <c r="C77" i="7"/>
  <c r="D81" i="7"/>
  <c r="H21" i="7"/>
  <c r="N25" i="7"/>
  <c r="D55" i="7"/>
  <c r="N71" i="7"/>
  <c r="D83" i="7"/>
  <c r="M127" i="7"/>
  <c r="J58" i="7"/>
  <c r="F14" i="7"/>
  <c r="G63" i="7"/>
  <c r="C81" i="7"/>
  <c r="D39" i="7"/>
  <c r="L106" i="7"/>
  <c r="H69" i="7"/>
  <c r="J54" i="7"/>
  <c r="D32" i="7"/>
  <c r="D67" i="7"/>
  <c r="O116" i="7"/>
  <c r="C6" i="1"/>
  <c r="H99" i="7"/>
  <c r="H66" i="7"/>
  <c r="J20" i="7"/>
  <c r="N32" i="1"/>
  <c r="O51" i="7"/>
  <c r="M39" i="1"/>
  <c r="M100" i="7"/>
  <c r="E68" i="7"/>
  <c r="L22" i="1"/>
  <c r="E31" i="1"/>
  <c r="I9" i="1"/>
  <c r="J4" i="7"/>
  <c r="E57" i="7"/>
  <c r="I86" i="7"/>
  <c r="N84" i="7"/>
  <c r="F13" i="7"/>
  <c r="I104" i="7"/>
  <c r="F17" i="7"/>
  <c r="O124" i="7"/>
  <c r="J87" i="7"/>
  <c r="L108" i="7"/>
  <c r="O15" i="7"/>
  <c r="D8" i="7"/>
  <c r="G33" i="1"/>
  <c r="F31" i="1"/>
  <c r="C6" i="7"/>
  <c r="G95" i="7"/>
  <c r="O108" i="7"/>
  <c r="I20" i="7"/>
  <c r="L72" i="7"/>
  <c r="C35" i="1"/>
  <c r="C17" i="1"/>
  <c r="C13" i="7"/>
  <c r="N9" i="7"/>
  <c r="J31" i="7"/>
  <c r="H21" i="1"/>
  <c r="L79" i="7"/>
  <c r="C108" i="7"/>
  <c r="M129" i="7"/>
  <c r="G112" i="7"/>
  <c r="M121" i="7"/>
  <c r="D60" i="7"/>
  <c r="D70" i="7"/>
  <c r="O55" i="7"/>
  <c r="I53" i="7"/>
  <c r="M98" i="7"/>
  <c r="I84" i="7"/>
  <c r="I17" i="1"/>
  <c r="I52" i="7"/>
  <c r="C17" i="7"/>
  <c r="O36" i="7"/>
  <c r="D71" i="7"/>
  <c r="O27" i="7"/>
  <c r="J29" i="7"/>
  <c r="H130" i="7"/>
  <c r="H102" i="7"/>
  <c r="D132" i="7"/>
  <c r="C13" i="1"/>
  <c r="N52" i="7"/>
  <c r="J9" i="7"/>
  <c r="M21" i="1"/>
  <c r="O41" i="7"/>
  <c r="G118" i="7"/>
  <c r="E5" i="7"/>
  <c r="M40" i="1"/>
  <c r="I114" i="7"/>
  <c r="H30" i="7"/>
  <c r="J77" i="7"/>
  <c r="M4" i="7"/>
  <c r="O52" i="7"/>
  <c r="H20" i="7"/>
  <c r="E73" i="7"/>
  <c r="N124" i="7"/>
  <c r="I33" i="1"/>
  <c r="G120" i="7"/>
  <c r="C18" i="1"/>
  <c r="L27" i="1"/>
  <c r="C21" i="1"/>
  <c r="L120" i="7"/>
  <c r="L112" i="7"/>
  <c r="H36" i="1"/>
  <c r="M6" i="1"/>
  <c r="G83" i="7"/>
  <c r="M83" i="7"/>
  <c r="N62" i="7"/>
  <c r="F38" i="1"/>
  <c r="H22" i="1"/>
  <c r="K69" i="7"/>
  <c r="J6" i="1"/>
  <c r="N118" i="7"/>
  <c r="D10" i="7"/>
  <c r="G65" i="7"/>
  <c r="D17" i="1"/>
  <c r="N63" i="7"/>
  <c r="D106" i="7"/>
  <c r="K53" i="7"/>
  <c r="E125" i="7"/>
  <c r="E63" i="7"/>
  <c r="O125" i="7"/>
  <c r="K25" i="1"/>
  <c r="H88" i="7"/>
  <c r="N115" i="7"/>
  <c r="E64" i="7"/>
  <c r="K85" i="7"/>
  <c r="F81" i="7"/>
  <c r="L8" i="1"/>
  <c r="D104" i="7"/>
  <c r="I115" i="7"/>
  <c r="N11" i="1"/>
  <c r="H12" i="7"/>
  <c r="K87" i="7"/>
  <c r="J110" i="7"/>
  <c r="D20" i="7"/>
  <c r="E105" i="7"/>
  <c r="J33" i="1"/>
  <c r="H112" i="7"/>
  <c r="G108" i="7"/>
  <c r="N30" i="1"/>
  <c r="F12" i="7"/>
  <c r="G54" i="7"/>
  <c r="G87" i="7"/>
  <c r="F21" i="7"/>
  <c r="K99" i="7"/>
  <c r="D9" i="1"/>
  <c r="L54" i="7"/>
  <c r="N107" i="7"/>
  <c r="F10" i="1"/>
  <c r="H32" i="7"/>
  <c r="I16" i="1"/>
  <c r="L119" i="7"/>
  <c r="I98" i="7"/>
  <c r="C25" i="1"/>
  <c r="I4" i="7"/>
  <c r="N31" i="7"/>
  <c r="M55" i="7"/>
  <c r="K37" i="7"/>
  <c r="E78" i="7"/>
  <c r="K7" i="1"/>
  <c r="K83" i="7"/>
  <c r="K26" i="1"/>
  <c r="D19" i="1"/>
  <c r="L37" i="1"/>
  <c r="F39" i="7"/>
  <c r="L5" i="7"/>
  <c r="O68" i="7"/>
  <c r="I19" i="1"/>
  <c r="K107" i="7"/>
  <c r="F19" i="1"/>
  <c r="L35" i="1"/>
  <c r="N18" i="1"/>
  <c r="K128" i="7"/>
  <c r="I109" i="7"/>
  <c r="D31" i="1"/>
  <c r="O107" i="7"/>
  <c r="E114" i="7"/>
  <c r="K56" i="7"/>
  <c r="D73" i="7"/>
  <c r="K8" i="1"/>
  <c r="K15" i="1"/>
  <c r="M65" i="7"/>
  <c r="F76" i="7"/>
  <c r="D9" i="7"/>
  <c r="F102" i="7"/>
  <c r="D110" i="7"/>
  <c r="G31" i="1"/>
  <c r="J36" i="7"/>
  <c r="C74" i="7"/>
  <c r="M63" i="7"/>
  <c r="G26" i="1"/>
  <c r="G70" i="7"/>
  <c r="I41" i="1"/>
  <c r="K64" i="7"/>
  <c r="E6" i="1"/>
  <c r="J72" i="7"/>
  <c r="C22" i="7"/>
  <c r="J70" i="7"/>
  <c r="K105" i="7"/>
  <c r="K88" i="7"/>
  <c r="H85" i="7"/>
  <c r="F68" i="7"/>
  <c r="N36" i="7"/>
  <c r="K100" i="7"/>
  <c r="J130" i="7"/>
  <c r="G4" i="7"/>
  <c r="L55" i="7"/>
  <c r="F27" i="7"/>
  <c r="I21" i="1"/>
  <c r="N109" i="7"/>
  <c r="M32" i="1"/>
  <c r="L56" i="7"/>
  <c r="E120" i="7"/>
  <c r="E51" i="7"/>
  <c r="H104" i="7"/>
  <c r="C107" i="7"/>
  <c r="J25" i="1"/>
  <c r="D18" i="1"/>
  <c r="M22" i="7"/>
  <c r="J34" i="1"/>
  <c r="L57" i="7"/>
  <c r="M80" i="7"/>
  <c r="O37" i="7"/>
  <c r="D12" i="7"/>
  <c r="F71" i="7"/>
  <c r="D95" i="7"/>
  <c r="D74" i="7"/>
  <c r="J39" i="1"/>
  <c r="C75" i="7"/>
  <c r="J26" i="7"/>
  <c r="N59" i="7"/>
  <c r="N28" i="1"/>
  <c r="G11" i="1"/>
  <c r="G71" i="7"/>
  <c r="K77" i="7"/>
  <c r="C104" i="7"/>
  <c r="F5" i="1"/>
  <c r="M20" i="1"/>
  <c r="O128" i="7"/>
  <c r="G30" i="7"/>
  <c r="J17" i="1"/>
  <c r="K115" i="7"/>
  <c r="D107" i="7"/>
  <c r="L28" i="1"/>
  <c r="K71" i="7"/>
  <c r="D28" i="1"/>
  <c r="I63" i="7"/>
  <c r="E132" i="7"/>
  <c r="E38" i="7"/>
  <c r="E85" i="7"/>
  <c r="I80" i="7"/>
  <c r="N20" i="1"/>
  <c r="M108" i="7"/>
  <c r="F72" i="7"/>
  <c r="G16" i="7"/>
  <c r="H38" i="1"/>
  <c r="K13" i="1"/>
  <c r="E80" i="7"/>
  <c r="N81" i="7"/>
  <c r="D37" i="7"/>
  <c r="N22" i="1"/>
  <c r="I20" i="1"/>
  <c r="D38" i="7"/>
  <c r="O70" i="7"/>
  <c r="G27" i="1"/>
  <c r="L104" i="7"/>
  <c r="J37" i="1"/>
  <c r="I19" i="7"/>
  <c r="F24" i="7"/>
  <c r="C125" i="7"/>
  <c r="F21" i="1"/>
  <c r="H72" i="7"/>
  <c r="M96" i="7"/>
  <c r="C58" i="7"/>
  <c r="L52" i="7"/>
  <c r="G81" i="7"/>
  <c r="N60" i="7"/>
  <c r="L24" i="1"/>
  <c r="L37" i="7"/>
  <c r="D86" i="7"/>
  <c r="D68" i="7"/>
  <c r="G39" i="1"/>
  <c r="H75" i="7"/>
  <c r="O86" i="7"/>
  <c r="F7" i="7"/>
  <c r="K31" i="1"/>
  <c r="M16" i="7"/>
  <c r="F88" i="7"/>
  <c r="E39" i="7"/>
  <c r="H11" i="7"/>
  <c r="L16" i="1"/>
  <c r="K9" i="1"/>
  <c r="N36" i="1"/>
  <c r="J128" i="7"/>
  <c r="J21" i="7"/>
  <c r="J68" i="7"/>
  <c r="G67" i="7"/>
  <c r="I108" i="7"/>
  <c r="F78" i="7"/>
  <c r="L98" i="7"/>
  <c r="I35" i="1"/>
  <c r="C106" i="7"/>
  <c r="N26" i="7"/>
  <c r="I69" i="7"/>
  <c r="E27" i="1"/>
  <c r="N114" i="7"/>
  <c r="G61" i="7"/>
  <c r="D102" i="7"/>
  <c r="K6" i="7"/>
  <c r="D116" i="7"/>
  <c r="O34" i="7"/>
  <c r="G7" i="1"/>
  <c r="M97" i="7"/>
  <c r="I17" i="7"/>
  <c r="J95" i="7"/>
  <c r="E41" i="7"/>
  <c r="G88" i="7"/>
  <c r="M12" i="7"/>
  <c r="C112" i="7"/>
  <c r="I57" i="7"/>
  <c r="E100" i="7"/>
  <c r="J108" i="7"/>
  <c r="E87" i="7"/>
  <c r="J8" i="1"/>
  <c r="L14" i="1"/>
  <c r="L116" i="7"/>
  <c r="L77" i="7"/>
  <c r="L68" i="7"/>
  <c r="K120" i="7"/>
  <c r="D18" i="7"/>
  <c r="I96" i="7"/>
  <c r="J22" i="7"/>
  <c r="L122" i="7"/>
  <c r="H27" i="7"/>
  <c r="I124" i="7"/>
  <c r="C116" i="7"/>
  <c r="H36" i="7"/>
  <c r="E21" i="1"/>
  <c r="O100" i="7"/>
  <c r="H14" i="7"/>
  <c r="F13" i="1"/>
  <c r="F4" i="1"/>
  <c r="C84" i="7"/>
  <c r="H120" i="7"/>
  <c r="L123" i="7"/>
  <c r="M9" i="1"/>
  <c r="N66" i="7"/>
  <c r="C82" i="7"/>
  <c r="N14" i="1"/>
  <c r="J15" i="7"/>
  <c r="D125" i="7"/>
  <c r="L23" i="1"/>
  <c r="J5" i="1"/>
  <c r="M125" i="7"/>
  <c r="H65" i="7"/>
  <c r="I121" i="7"/>
  <c r="H119" i="7"/>
  <c r="I65" i="7"/>
  <c r="L80" i="7"/>
  <c r="G127" i="7"/>
  <c r="L96" i="7"/>
  <c r="L82" i="7"/>
  <c r="J18" i="7"/>
  <c r="E26" i="7"/>
  <c r="M51" i="7"/>
  <c r="E38" i="1"/>
  <c r="L6" i="7"/>
  <c r="J29" i="1"/>
  <c r="N76" i="7"/>
  <c r="M111" i="7"/>
  <c r="C23" i="7"/>
  <c r="D35" i="7"/>
  <c r="O85" i="7"/>
  <c r="G106" i="7"/>
  <c r="F62" i="7"/>
  <c r="F41" i="1"/>
  <c r="K35" i="1"/>
  <c r="E16" i="7"/>
  <c r="H127" i="7"/>
  <c r="H32" i="1"/>
  <c r="U158" i="7" s="1" a="1"/>
  <c r="U158" i="7" s="1"/>
  <c r="N5" i="1"/>
  <c r="M64" i="7"/>
  <c r="J101" i="7"/>
  <c r="D120" i="7"/>
  <c r="D54" i="7"/>
  <c r="E84" i="7"/>
  <c r="I55" i="7"/>
  <c r="J116" i="7"/>
  <c r="K103" i="7"/>
  <c r="N95" i="7"/>
  <c r="O102" i="7"/>
  <c r="F30" i="1"/>
  <c r="L36" i="1"/>
  <c r="J16" i="1"/>
  <c r="O65" i="7"/>
  <c r="C73" i="7"/>
  <c r="O121" i="7"/>
  <c r="E88" i="7"/>
  <c r="G77" i="7"/>
  <c r="M62" i="7"/>
  <c r="D130" i="7"/>
  <c r="L114" i="7"/>
  <c r="K38" i="7"/>
  <c r="E27" i="7"/>
  <c r="K41" i="1"/>
  <c r="G21" i="1"/>
  <c r="H74" i="7"/>
  <c r="G25" i="1"/>
  <c r="F52" i="7"/>
  <c r="I15" i="1"/>
  <c r="L4" i="7"/>
  <c r="I34" i="7"/>
  <c r="C34" i="1"/>
  <c r="H33" i="7"/>
  <c r="L12" i="7"/>
  <c r="C29" i="7"/>
  <c r="J125" i="7"/>
  <c r="C121" i="7"/>
  <c r="H116" i="7"/>
  <c r="E126" i="7"/>
  <c r="I88" i="7"/>
  <c r="G33" i="7"/>
  <c r="F25" i="1"/>
  <c r="H29" i="7"/>
  <c r="F38" i="7"/>
  <c r="F60" i="7"/>
  <c r="K27" i="7"/>
  <c r="G22" i="7"/>
  <c r="G22" i="1"/>
  <c r="J14" i="1"/>
  <c r="N58" i="7"/>
  <c r="L115" i="7"/>
  <c r="L6" i="1"/>
  <c r="L99" i="7"/>
  <c r="F18" i="1"/>
  <c r="E118" i="7"/>
  <c r="F113" i="7"/>
  <c r="E4" i="1"/>
  <c r="I62" i="7"/>
  <c r="M126" i="7"/>
  <c r="D111" i="7"/>
  <c r="O72" i="7"/>
  <c r="H20" i="1"/>
  <c r="O40" i="7"/>
  <c r="I22" i="7"/>
  <c r="I5" i="7"/>
  <c r="L29" i="1"/>
  <c r="E106" i="7"/>
  <c r="I24" i="7"/>
  <c r="M60" i="7"/>
  <c r="E102" i="7"/>
  <c r="F26" i="7"/>
  <c r="F41" i="7"/>
  <c r="C69" i="7"/>
  <c r="N102" i="7"/>
  <c r="G105" i="7"/>
  <c r="G14" i="1"/>
  <c r="K19" i="7"/>
  <c r="M29" i="1"/>
  <c r="G9" i="7"/>
  <c r="N20" i="7"/>
  <c r="I81" i="7"/>
  <c r="C25" i="7"/>
  <c r="D69" i="7"/>
  <c r="L111" i="7"/>
  <c r="E20" i="7"/>
  <c r="E14" i="7"/>
  <c r="E99" i="7"/>
  <c r="E15" i="7"/>
  <c r="C126" i="7"/>
  <c r="F70" i="7"/>
  <c r="O96" i="7"/>
  <c r="F16" i="7"/>
  <c r="C16" i="1"/>
  <c r="J53" i="7"/>
  <c r="J131" i="7"/>
  <c r="D39" i="1"/>
  <c r="L117" i="7"/>
  <c r="C68" i="7"/>
  <c r="E18" i="1"/>
  <c r="K30" i="7"/>
  <c r="D23" i="1"/>
  <c r="D117" i="7"/>
  <c r="H62" i="7"/>
  <c r="L5" i="1"/>
  <c r="K118" i="7"/>
  <c r="L103" i="7"/>
  <c r="I105" i="7"/>
  <c r="D24" i="1"/>
  <c r="M86" i="7"/>
  <c r="G107" i="7"/>
  <c r="M101" i="7"/>
  <c r="E117" i="7"/>
  <c r="N82" i="7"/>
  <c r="I34" i="1"/>
  <c r="K76" i="7"/>
  <c r="O17" i="7"/>
  <c r="N24" i="7"/>
  <c r="K102" i="7"/>
  <c r="C113" i="7"/>
  <c r="J124" i="7"/>
  <c r="G18" i="1"/>
  <c r="C23" i="1"/>
  <c r="D14" i="7"/>
  <c r="C118" i="7"/>
  <c r="G6" i="1"/>
  <c r="D88" i="7"/>
  <c r="I36" i="7"/>
  <c r="K29" i="7"/>
  <c r="J96" i="7"/>
  <c r="D82" i="7"/>
  <c r="D97" i="7"/>
  <c r="G19" i="1"/>
  <c r="K80" i="7"/>
  <c r="L34" i="1"/>
  <c r="K36" i="1"/>
  <c r="I18" i="1"/>
  <c r="F33" i="7"/>
  <c r="D118" i="7"/>
  <c r="E15" i="1"/>
  <c r="K20" i="7"/>
  <c r="E107" i="7"/>
  <c r="D51" i="7"/>
  <c r="E128" i="7"/>
  <c r="H37" i="7"/>
  <c r="M37" i="7"/>
  <c r="J85" i="7"/>
  <c r="F74" i="7"/>
  <c r="K9" i="7"/>
  <c r="H131" i="7"/>
  <c r="N64" i="7"/>
  <c r="G68" i="7"/>
  <c r="O119" i="7"/>
  <c r="L81" i="7"/>
  <c r="D128" i="7"/>
  <c r="M59" i="7"/>
  <c r="J56" i="7"/>
  <c r="H73" i="7"/>
  <c r="I37" i="7"/>
  <c r="M10" i="7"/>
  <c r="G39" i="7"/>
  <c r="L88" i="7"/>
  <c r="D5" i="1"/>
  <c r="M17" i="1"/>
  <c r="J127" i="7"/>
  <c r="E41" i="1"/>
  <c r="D79" i="7"/>
  <c r="C127" i="7"/>
  <c r="H63" i="7"/>
  <c r="G80" i="7"/>
  <c r="M117" i="7"/>
  <c r="J30" i="7"/>
  <c r="E19" i="7"/>
  <c r="M16" i="1"/>
  <c r="E40" i="1"/>
  <c r="H132" i="7"/>
  <c r="D12" i="1"/>
  <c r="N99" i="7"/>
  <c r="I99" i="7"/>
  <c r="F116" i="7"/>
  <c r="C29" i="1"/>
  <c r="O22" i="7"/>
  <c r="G29" i="1"/>
  <c r="L27" i="7"/>
  <c r="L60" i="7"/>
  <c r="L7" i="1"/>
  <c r="C5" i="1"/>
  <c r="J16" i="7"/>
  <c r="O79" i="7"/>
  <c r="I51" i="7"/>
  <c r="F77" i="7"/>
  <c r="C97" i="7"/>
  <c r="K121" i="7"/>
  <c r="C102" i="7"/>
  <c r="D15" i="1"/>
  <c r="M15" i="1"/>
  <c r="N88" i="7"/>
  <c r="G12" i="7"/>
  <c r="H14" i="1"/>
  <c r="J24" i="1"/>
  <c r="E25" i="7"/>
  <c r="K13" i="7"/>
  <c r="N30" i="7"/>
  <c r="E22" i="7"/>
  <c r="C4" i="7"/>
  <c r="O82" i="7"/>
  <c r="J122" i="7"/>
  <c r="I29" i="7"/>
  <c r="K31" i="7"/>
  <c r="F121" i="7"/>
  <c r="I119" i="7"/>
  <c r="I28" i="1"/>
  <c r="E8" i="7"/>
  <c r="M12" i="1"/>
  <c r="D89" i="7" l="1"/>
  <c r="D43" i="1" s="1"/>
  <c r="J133" i="7"/>
  <c r="D133" i="7"/>
  <c r="E42" i="7"/>
  <c r="P155" i="7" s="1" a="1"/>
  <c r="P155" i="7" s="1"/>
  <c r="M133" i="7"/>
  <c r="I89" i="7"/>
  <c r="I42" i="1"/>
  <c r="N42" i="7"/>
  <c r="P164" i="7" s="1" a="1"/>
  <c r="P164" i="7" s="1"/>
  <c r="O42" i="1"/>
  <c r="K42" i="1"/>
  <c r="C42" i="7"/>
  <c r="P153" i="7" s="1" a="1"/>
  <c r="P153" i="7" s="1"/>
  <c r="L42" i="7"/>
  <c r="P162" i="7" s="1" a="1"/>
  <c r="P162" i="7" s="1"/>
  <c r="M89" i="7"/>
  <c r="L133" i="7"/>
  <c r="N42" i="1"/>
  <c r="G42" i="7"/>
  <c r="P157" i="7" s="1" a="1"/>
  <c r="P157" i="7" s="1"/>
  <c r="C42" i="1"/>
  <c r="D42" i="7"/>
  <c r="P154" i="7" s="1" a="1"/>
  <c r="P154" i="7" s="1"/>
  <c r="I133" i="7"/>
  <c r="E42" i="1"/>
  <c r="H133" i="7"/>
  <c r="C133" i="7"/>
  <c r="G133" i="7"/>
  <c r="C89" i="7"/>
  <c r="H42" i="1"/>
  <c r="F42" i="7"/>
  <c r="P156" i="7" s="1" a="1"/>
  <c r="P156" i="7" s="1"/>
  <c r="I42" i="7"/>
  <c r="P159" i="7" s="1" a="1"/>
  <c r="P159" i="7" s="1"/>
  <c r="M42" i="7"/>
  <c r="P163" i="7" s="1" a="1"/>
  <c r="P163" i="7" s="1"/>
  <c r="M42" i="1"/>
  <c r="K133" i="7"/>
  <c r="J42" i="1"/>
  <c r="F133" i="7"/>
  <c r="N133" i="7"/>
  <c r="F42" i="1"/>
  <c r="E133" i="7"/>
  <c r="L89" i="7"/>
  <c r="L42" i="1"/>
  <c r="J42" i="7"/>
  <c r="P160" i="7" s="1" a="1"/>
  <c r="P160" i="7" s="1"/>
  <c r="O42" i="7"/>
  <c r="P165" i="7" s="1" a="1"/>
  <c r="P165" i="7" s="1"/>
  <c r="G89" i="7"/>
  <c r="K89" i="7"/>
  <c r="N89" i="7"/>
  <c r="D42" i="1"/>
  <c r="F89" i="7"/>
  <c r="O133" i="7"/>
  <c r="O89" i="7"/>
  <c r="H42" i="7"/>
  <c r="P158" i="7" s="1" a="1"/>
  <c r="P158" i="7" s="1"/>
  <c r="H89" i="7"/>
  <c r="E89" i="7"/>
  <c r="K42" i="7"/>
  <c r="P161" i="7" s="1" a="1"/>
  <c r="P161" i="7" s="1"/>
  <c r="G42" i="1"/>
  <c r="J89" i="7"/>
  <c r="T153" i="7" l="1" a="1"/>
  <c r="T153" i="7" s="1"/>
  <c r="N153" i="7" s="1"/>
  <c r="D143" i="7"/>
  <c r="O43" i="1"/>
  <c r="O143" i="7"/>
  <c r="R165" i="7" s="1" a="1"/>
  <c r="R165" i="7" s="1"/>
  <c r="L165" i="7" s="1"/>
  <c r="H43" i="1"/>
  <c r="H143" i="7"/>
  <c r="M143" i="7"/>
  <c r="M43" i="1"/>
  <c r="K43" i="1"/>
  <c r="K143" i="7"/>
  <c r="F143" i="7"/>
  <c r="F43" i="1"/>
  <c r="N143" i="7"/>
  <c r="R164" i="7" s="1" a="1"/>
  <c r="R164" i="7" s="1"/>
  <c r="L164" i="7" s="1"/>
  <c r="N43" i="1"/>
  <c r="C143" i="7"/>
  <c r="R153" i="7" s="1" a="1"/>
  <c r="R153" i="7" s="1"/>
  <c r="L153" i="7" s="1"/>
  <c r="C43" i="1"/>
  <c r="G43" i="1"/>
  <c r="G143" i="7"/>
  <c r="I43" i="1"/>
  <c r="I143" i="7"/>
  <c r="J143" i="7"/>
  <c r="J43" i="1"/>
  <c r="L43" i="1"/>
  <c r="L143" i="7"/>
  <c r="E43" i="1"/>
  <c r="E143" i="7"/>
  <c r="R155" i="7" s="1" a="1"/>
  <c r="R155" i="7" s="1"/>
  <c r="T50" i="1" a="1"/>
  <c r="T50" i="1" s="1"/>
  <c r="N164" i="7" l="1"/>
  <c r="N165" i="7"/>
  <c r="R159" i="7" a="1"/>
  <c r="R159" i="7" s="1"/>
  <c r="L159" i="7" s="1"/>
  <c r="R157" i="7" a="1"/>
  <c r="R157" i="7" s="1"/>
  <c r="L157" i="7" s="1"/>
  <c r="R154" i="7" a="1"/>
  <c r="R154" i="7" s="1"/>
  <c r="L154" i="7" s="1"/>
  <c r="R156" i="7" a="1"/>
  <c r="R156" i="7" s="1"/>
  <c r="L156" i="7" s="1"/>
  <c r="R161" i="7" a="1"/>
  <c r="R161" i="7" s="1"/>
  <c r="L161" i="7" s="1"/>
  <c r="R162" i="7" a="1"/>
  <c r="R162" i="7" s="1"/>
  <c r="L162" i="7" s="1"/>
  <c r="R163" i="7" a="1"/>
  <c r="R163" i="7" s="1"/>
  <c r="L163" i="7" s="1"/>
  <c r="R158" i="7" a="1"/>
  <c r="R158" i="7" s="1"/>
  <c r="L158" i="7" s="1"/>
  <c r="R160" i="7" a="1"/>
  <c r="R160" i="7" s="1"/>
  <c r="L160" i="7" s="1"/>
  <c r="L155" i="7"/>
  <c r="N155" i="7"/>
  <c r="N156" i="7"/>
  <c r="N161" i="7"/>
  <c r="N162" i="7"/>
  <c r="N158" i="7"/>
  <c r="N163" i="7"/>
  <c r="N154" i="7"/>
  <c r="N159" i="7"/>
  <c r="N160" i="7"/>
  <c r="N157" i="7"/>
  <c r="D5" i="4" l="1" a="1"/>
  <c r="D5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<sst xmlns="http://schemas.openxmlformats.org/spreadsheetml/2006/main" count="1667" uniqueCount="117">
  <si>
    <t>Callum</t>
  </si>
  <si>
    <t>Sam</t>
  </si>
  <si>
    <t>Reece</t>
  </si>
  <si>
    <t>Ellena</t>
  </si>
  <si>
    <t>Faizan</t>
  </si>
  <si>
    <t>Rory</t>
  </si>
  <si>
    <t>GW2</t>
  </si>
  <si>
    <t>GW3</t>
  </si>
  <si>
    <t>GW4</t>
  </si>
  <si>
    <t>GW5</t>
  </si>
  <si>
    <t>GW6</t>
  </si>
  <si>
    <t>GW7</t>
  </si>
  <si>
    <t>GW8</t>
  </si>
  <si>
    <t>GW9</t>
  </si>
  <si>
    <t>GW10</t>
  </si>
  <si>
    <t>GW11</t>
  </si>
  <si>
    <t>GW12</t>
  </si>
  <si>
    <t>GW13</t>
  </si>
  <si>
    <t>GW14</t>
  </si>
  <si>
    <t>GW15</t>
  </si>
  <si>
    <t>GW16</t>
  </si>
  <si>
    <t>GW17</t>
  </si>
  <si>
    <t>GW18</t>
  </si>
  <si>
    <t>GW19</t>
  </si>
  <si>
    <t>GW20</t>
  </si>
  <si>
    <t>GW21</t>
  </si>
  <si>
    <t>GW22</t>
  </si>
  <si>
    <t>GW23</t>
  </si>
  <si>
    <t>GW24</t>
  </si>
  <si>
    <t>GW25</t>
  </si>
  <si>
    <t>GW26</t>
  </si>
  <si>
    <t>GW27</t>
  </si>
  <si>
    <t>GW28</t>
  </si>
  <si>
    <t>GW29</t>
  </si>
  <si>
    <t>GW30</t>
  </si>
  <si>
    <t>GW31</t>
  </si>
  <si>
    <t>GW32</t>
  </si>
  <si>
    <t>GW33</t>
  </si>
  <si>
    <t>GW34</t>
  </si>
  <si>
    <t>GW35</t>
  </si>
  <si>
    <t>GW36</t>
  </si>
  <si>
    <t>GW37</t>
  </si>
  <si>
    <t>GW38</t>
  </si>
  <si>
    <t>Total</t>
  </si>
  <si>
    <t>Match Winner</t>
  </si>
  <si>
    <t>Correct Score</t>
  </si>
  <si>
    <t>1 PT</t>
  </si>
  <si>
    <t>3 PTS</t>
  </si>
  <si>
    <t>Position</t>
  </si>
  <si>
    <t>Player</t>
  </si>
  <si>
    <t>Points</t>
  </si>
  <si>
    <t>Premier League Predictions Table</t>
  </si>
  <si>
    <t>GW1</t>
  </si>
  <si>
    <t>Harry</t>
  </si>
  <si>
    <t>Ruby</t>
  </si>
  <si>
    <t>CS</t>
  </si>
  <si>
    <t>EX1</t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</si>
  <si>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</si>
  <si>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</si>
  <si>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</si>
  <si>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</si>
  <si>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</si>
  <si>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</si>
  <si>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</si>
  <si>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</si>
  <si>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</si>
  <si>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</si>
  <si>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</si>
  <si>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</si>
  <si>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</si>
  <si>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</si>
  <si>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</si>
  <si>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</si>
  <si>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</si>
  <si>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EX19</t>
  </si>
  <si>
    <t>EX20</t>
  </si>
  <si>
    <t>EX21</t>
  </si>
  <si>
    <t>EX22</t>
  </si>
  <si>
    <t>EX23</t>
  </si>
  <si>
    <t>EX24</t>
  </si>
  <si>
    <t>EX25</t>
  </si>
  <si>
    <t>EX26</t>
  </si>
  <si>
    <t>EX27</t>
  </si>
  <si>
    <t>EX28</t>
  </si>
  <si>
    <t>EX29</t>
  </si>
  <si>
    <t>EX30</t>
  </si>
  <si>
    <t>EX31</t>
  </si>
  <si>
    <t>EX32</t>
  </si>
  <si>
    <t>EX33</t>
  </si>
  <si>
    <t>EX34</t>
  </si>
  <si>
    <t>EX35</t>
  </si>
  <si>
    <t>EX36</t>
  </si>
  <si>
    <t>EX37</t>
  </si>
  <si>
    <t>EX38</t>
  </si>
  <si>
    <t>XL1</t>
  </si>
  <si>
    <t xml:space="preserve">EXTRA RESULTS </t>
  </si>
  <si>
    <t>PL Total</t>
  </si>
  <si>
    <t>PL CS</t>
  </si>
  <si>
    <t>EX CS</t>
  </si>
  <si>
    <t>Total CS</t>
  </si>
  <si>
    <t>PL Points</t>
  </si>
  <si>
    <t>EX Points</t>
  </si>
  <si>
    <t>XL Box 1</t>
  </si>
  <si>
    <t>XL Box 1 Points</t>
  </si>
  <si>
    <t>XL Box CS</t>
  </si>
  <si>
    <t>XL Box 1 CS</t>
  </si>
  <si>
    <t>Total Points</t>
  </si>
  <si>
    <t>PL and EX CS</t>
  </si>
  <si>
    <t>Charlotte</t>
  </si>
  <si>
    <t>Nicola</t>
  </si>
  <si>
    <t>Will</t>
  </si>
  <si>
    <t>EX Purpose</t>
  </si>
  <si>
    <t>Sam L</t>
  </si>
  <si>
    <t>Sam A</t>
  </si>
  <si>
    <t>Sam  A</t>
  </si>
  <si>
    <t>George</t>
  </si>
  <si>
    <t>Caius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</si>
</sst>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3D195B"/>
        <bgColor indexed="64"/>
      </patternFill>
    </fill>
    <fill>
      <patternFill patternType="solid">
        <fgColor rgb="FF2B59A5"/>
        <bgColor indexed="64"/>
      </patternFill>
    </fill>
  </fills>
  <borders count="1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5CFEFE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rgb="FF5CFEF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4" fillId="2" borderId="1" applyNumberFormat="0" applyAlignment="0" applyProtection="0"/>
    <xf numFmtId="0" fontId="3" fillId="4" borderId="0">
      <alignment horizontal="center" vertical="center"/>
    </xf>
    <xf numFmtId="0" fontId="1" fillId="3" borderId="0"/>
    <xf numFmtId="0" fontId="5" fillId="2" borderId="8" applyNumberFormat="0" applyAlignment="0" applyProtection="0"/>
    <xf numFmtId="0" fontId="3" fillId="5" borderId="0">
      <alignment horizontal="center" vertical="center"/>
    </xf>
  </cellStyleXfs>
  <cellXfs count="36">
    <xf numFmtId="0" fontId="0" fillId="0" borderId="0" xfId="0"/>
    <xf numFmtId="0" fontId="3" fillId="4" borderId="0" xfId="2">
      <alignment horizontal="center" vertical="center"/>
    </xf>
    <xf numFmtId="0" fontId="4" fillId="2" borderId="1" xfId="1" applyAlignment="1">
      <alignment horizontal="center" vertical="center"/>
    </xf>
    <xf numFmtId="49" fontId="4" fillId="2" borderId="1" xfId="1" applyNumberFormat="1" applyAlignment="1">
      <alignment horizontal="center" vertical="center"/>
    </xf>
    <xf numFmtId="0" fontId="0" fillId="4" borderId="0" xfId="2" applyFont="1">
      <alignment horizontal="center" vertical="center"/>
    </xf>
    <xf numFmtId="0" fontId="1" fillId="3" borderId="0" xfId="3"/>
    <xf numFmtId="0" fontId="4" fillId="2" borderId="2" xfId="1" applyBorder="1" applyAlignment="1">
      <alignment horizontal="center" vertical="center"/>
    </xf>
    <xf numFmtId="1" fontId="4" fillId="2" borderId="2" xfId="1" applyNumberFormat="1" applyBorder="1" applyAlignment="1">
      <alignment horizontal="center" vertical="center"/>
    </xf>
    <xf numFmtId="0" fontId="3" fillId="4" borderId="3" xfId="2" applyBorder="1">
      <alignment horizontal="center" vertical="center"/>
    </xf>
    <xf numFmtId="0" fontId="3" fillId="4" borderId="4" xfId="2" applyBorder="1">
      <alignment horizontal="center" vertical="center"/>
    </xf>
    <xf numFmtId="0" fontId="3" fillId="4" borderId="5" xfId="2" applyBorder="1">
      <alignment horizontal="center" vertical="center"/>
    </xf>
    <xf numFmtId="0" fontId="0" fillId="4" borderId="6" xfId="2" applyFont="1" applyBorder="1">
      <alignment horizontal="center" vertical="center"/>
    </xf>
    <xf numFmtId="0" fontId="0" fillId="0" borderId="0" xfId="0" applyAlignment="1">
      <alignment horizontal="center"/>
    </xf>
    <xf numFmtId="0" fontId="4" fillId="2" borderId="7" xfId="1" applyBorder="1" applyAlignment="1">
      <alignment horizontal="center" vertical="center"/>
    </xf>
    <xf numFmtId="1" fontId="4" fillId="2" borderId="7" xfId="1" applyNumberFormat="1" applyBorder="1" applyAlignment="1">
      <alignment horizontal="center" vertical="center"/>
    </xf>
    <xf numFmtId="0" fontId="1" fillId="4" borderId="0" xfId="2" applyFont="1">
      <alignment horizontal="center" vertical="center"/>
    </xf>
    <xf numFmtId="0" fontId="4" fillId="2" borderId="1" xfId="1"/>
    <xf numFmtId="0" fontId="4" fillId="2" borderId="2" xfId="1" applyBorder="1"/>
    <xf numFmtId="0" fontId="4" fillId="2" borderId="7" xfId="1" applyBorder="1"/>
    <xf numFmtId="0" fontId="6" fillId="2" borderId="8" xfId="4" applyFont="1" applyAlignment="1">
      <alignment horizontal="center" vertical="center"/>
    </xf>
    <xf numFmtId="0" fontId="3" fillId="4" borderId="9" xfId="2" applyBorder="1">
      <alignment horizontal="center" vertical="center"/>
    </xf>
    <xf numFmtId="0" fontId="3" fillId="4" borderId="10" xfId="2" applyBorder="1">
      <alignment horizontal="center" vertical="center"/>
    </xf>
    <xf numFmtId="0" fontId="3" fillId="5" borderId="0" xfId="5">
      <alignment horizontal="center" vertical="center"/>
    </xf>
    <xf numFmtId="0" fontId="3" fillId="5" borderId="10" xfId="5" applyBorder="1">
      <alignment horizontal="center" vertical="center"/>
    </xf>
    <xf numFmtId="0" fontId="3" fillId="5" borderId="9" xfId="5" applyBorder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7" fillId="3" borderId="0" xfId="3" applyFont="1"/>
    <xf numFmtId="0" fontId="3" fillId="5" borderId="11" xfId="5" applyBorder="1">
      <alignment horizontal="center" vertical="center"/>
    </xf>
    <xf numFmtId="1" fontId="3" fillId="4" borderId="0" xfId="2" applyNumberFormat="1">
      <alignment horizontal="center" vertical="center"/>
    </xf>
    <xf numFmtId="0" fontId="3" fillId="4" borderId="0" xfId="2">
      <alignment horizontal="center" vertical="center"/>
    </xf>
    <xf numFmtId="0" fontId="3" fillId="4" borderId="6" xfId="2" applyBorder="1">
      <alignment horizontal="center" vertical="center"/>
    </xf>
  </cellXfs>
  <cellStyles count="6">
    <cellStyle name="Calculation" xfId="4" builtinId="22"/>
    <cellStyle name="Normal" xfId="0" builtinId="0"/>
    <cellStyle name="Output" xfId="1" builtinId="21"/>
    <cellStyle name="Style 1" xfId="2" xr:uid="{E1B3571E-3D1E-46FA-ABE0-2D4BE258AA17}"/>
    <cellStyle name="Style 2" xfId="3" xr:uid="{EA5A745A-02D8-420B-9329-C71984008956}"/>
    <cellStyle name="Style 3" xfId="5" xr:uid="{3DB45EB2-F2C2-4ECE-A812-BB47D84CBC5B}"/>
  </cellStyles>
  <dxfs count="0"/>
  <tableStyles count="0" defaultTableStyle="TableStyleMedium2" defaultPivotStyle="PivotStyleLight16"/>
  <colors>
    <mruColors>
      <color rgb="FF5CFEFE"/>
      <color rgb="FF2B59A5"/>
      <color rgb="FF3D195B"/>
      <color rgb="FF3E1B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72B8-2A09-493D-AA11-9F1B72B384D5}">
  <dimension ref="B3:U61"/>
  <sheetViews>
    <sheetView zoomScale="85" zoomScaleNormal="85" workbookViewId="0">
      <selection activeCell="AC11" sqref="AC11"/>
    </sheetView>
  </sheetViews>
  <sheetFormatPr defaultRowHeight="15" x14ac:dyDescent="0.25"/>
  <cols>
    <col min="2" max="2" width="13.140625" customWidth="1"/>
    <col min="3" max="3" width="9.7109375" customWidth="1"/>
    <col min="4" max="4" width="13.42578125" customWidth="1"/>
    <col min="5" max="13" width="9.7109375" customWidth="1"/>
    <col min="28" max="29" width="9.42578125" customWidth="1"/>
    <col min="30" max="30" width="17.5703125" customWidth="1"/>
    <col min="31" max="31" width="11.140625" customWidth="1"/>
    <col min="42" max="42" width="13.85546875" customWidth="1"/>
  </cols>
  <sheetData>
    <row r="3" spans="2:15" ht="23.25" customHeight="1" x14ac:dyDescent="0.25">
      <c r="B3" s="1" t="s">
        <v>49</v>
      </c>
      <c r="C3" s="1" t="s">
        <v>0</v>
      </c>
      <c r="D3" s="1" t="s">
        <v>108</v>
      </c>
      <c r="E3" s="1" t="s">
        <v>3</v>
      </c>
      <c r="F3" s="1" t="s">
        <v>115</v>
      </c>
      <c r="G3" s="1" t="s">
        <v>53</v>
      </c>
      <c r="H3" s="1" t="s">
        <v>109</v>
      </c>
      <c r="I3" s="1" t="s">
        <v>2</v>
      </c>
      <c r="J3" s="1" t="s">
        <v>5</v>
      </c>
      <c r="K3" s="1" t="s">
        <v>54</v>
      </c>
      <c r="L3" s="1" t="s">
        <v>114</v>
      </c>
      <c r="M3" s="1" t="s">
        <v>112</v>
      </c>
      <c r="N3" s="1" t="s">
        <v>110</v>
      </c>
      <c r="O3" s="1" t="s">
        <v>116</v>
      </c>
    </row>
    <row r="4" spans="2:15" ht="18.75" x14ac:dyDescent="0.25">
      <c r="B4" s="1" t="s">
        <v>52</v>
      </c>
      <c r="C4" s="19" t="str" cm="1">
        <f t="array" aca="1" ref="C4" ca="1">IF(INDIRECT("Sheet2!D" &amp; 9 + (ROW(C4)-ROW($C$4))*7)=0, "", INDIRECT("Sheet2!D" &amp; 9 + (ROW(C4)-ROW($C$4))*7))</f>
        <v/>
      </c>
      <c r="D4" s="19" t="str" cm="1">
        <f t="array" aca="1" ref="D4" ca="1">IF(INDIRECT("Sheet2!E" &amp; 9 + (ROW(D4)-ROW($C$4))*7)=0, "", INDIRECT("Sheet2!E" &amp; 9 + (ROW(D4)-ROW($C$4))*7))</f>
        <v/>
      </c>
      <c r="E4" s="19" t="str" cm="1">
        <f t="array" aca="1" ref="E4" ca="1">IF(INDIRECT("Sheet2!F" &amp; 9 + (ROW(E4)-ROW($C$4))*7)=0, "", INDIRECT("Sheet2!F" &amp; 9 + (ROW(E4)-ROW($C$4))*7))</f>
        <v/>
      </c>
      <c r="F4" s="19" t="str" cm="1">
        <f t="array" aca="1" ref="F4" ca="1">IF(INDIRECT("Sheet2!G" &amp; 9 + (ROW(F4)-ROW($C$4))*7)=0, "", INDIRECT("Sheet2!G" &amp; 9 + (ROW(F4)-ROW($C$4))*7))</f>
        <v/>
      </c>
      <c r="G4" s="19" t="str" cm="1">
        <f t="array" aca="1" ref="G4" ca="1">IF(INDIRECT("Sheet2!H" &amp; 9 + (ROW(G4)-ROW($C$4))*7)=0, "", INDIRECT("Sheet2!H" &amp; 9 + (ROW(G4)-ROW($C$4))*7))</f>
        <v/>
      </c>
      <c r="H4" s="19" t="str" cm="1">
        <f t="array" aca="1" ref="H4" ca="1">IF(INDIRECT("Sheet2!I" &amp; 9 + (ROW(H4)-ROW($C$4))*7)=0, "", INDIRECT("Sheet2!I" &amp; 9 + (ROW(H4)-ROW($C$4))*7))</f>
        <v/>
      </c>
      <c r="I4" s="19" t="str" cm="1">
        <f t="array" aca="1" ref="I4" ca="1">IF(INDIRECT("Sheet2!J" &amp; 9 + (ROW(I4)-ROW($C$4))*7)=0, "", INDIRECT("Sheet2!J" &amp; 9 + (ROW(I4)-ROW($C$4))*7))</f>
        <v/>
      </c>
      <c r="J4" s="19" t="str" cm="1">
        <f t="array" aca="1" ref="J4" ca="1">IF(INDIRECT("Sheet2!K" &amp; 9 + (ROW(J4)-ROW($C$4))*7)=0, "", INDIRECT("Sheet2!K" &amp; 9 + (ROW(J4)-ROW($C$4))*7))</f>
        <v/>
      </c>
      <c r="K4" s="19" t="str" cm="1">
        <f t="array" aca="1" ref="K4" ca="1">IF(INDIRECT("Sheet2!L" &amp; 9 + (ROW(K4)-ROW($C$4))*7)=0, "", INDIRECT("Sheet2!L" &amp; 9 + (ROW(K4)-ROW($C$4))*7))</f>
        <v/>
      </c>
      <c r="L4" s="19" t="str" cm="1">
        <f t="array" aca="1" ref="L4" ca="1">IF(INDIRECT("Sheet2!M" &amp; 9 + (ROW(L4)-ROW($C$4))*7)=0, "", INDIRECT("Sheet2!M" &amp; 9 + (ROW(L4)-ROW($C$4))*7))</f>
        <v/>
      </c>
      <c r="M4" s="19" t="str" cm="1">
        <f t="array" aca="1" ref="M4" ca="1">IF(INDIRECT("Sheet2!N" &amp; 9 + (ROW(M4)-ROW($C$4))*7)=0, "", INDIRECT("Sheet2!N" &amp; 9 + (ROW(M4)-ROW($C$4))*7))</f>
        <v/>
      </c>
      <c r="N4" s="19" t="str" cm="1">
        <f t="array" aca="1" ref="N4" ca="1">IF(INDIRECT("Sheet2!O" &amp; 9 + (ROW(O4)-ROW($C$4))*7)=0, "", INDIRECT("Sheet2!O" &amp; 9 + (ROW(O4)-ROW($C$4))*7))</f>
        <v/>
      </c>
      <c r="O4" s="19" t="str" cm="1">
        <f t="array" aca="1" ref="O4" ca="1">IF(INDIRECT("Sheet2!P" &amp; 9 + (ROW(P4)-ROW($C$4))*7)=0, "", INDIRECT("Sheet2!P" &amp; 9 + (ROW(P4)-ROW($C$4))*7))</f>
        <v/>
      </c>
    </row>
    <row r="5" spans="2:15" ht="18.75" x14ac:dyDescent="0.25">
      <c r="B5" s="1" t="s">
        <v>6</v>
      </c>
      <c r="C5" s="19" t="str" cm="1">
        <f t="array" aca="1" ref="C5" ca="1">IF(INDIRECT("Sheet2!D" &amp; 9 + (ROW(C5)-ROW($C$4))*7)=0, "", INDIRECT("Sheet2!D" &amp; 9 + (ROW(C5)-ROW($C$4))*7))</f>
        <v/>
      </c>
      <c r="D5" s="19" t="str" cm="1">
        <f t="array" aca="1" ref="D5" ca="1">IF(INDIRECT("Sheet2!E" &amp; 9 + (ROW(D5)-ROW($C$4))*7)=0, "", INDIRECT("Sheet2!E" &amp; 9 + (ROW(D5)-ROW($C$4))*7))</f>
        <v/>
      </c>
      <c r="E5" s="19" t="str" cm="1">
        <f t="array" aca="1" ref="E5" ca="1">IF(INDIRECT("Sheet2!F" &amp; 9 + (ROW(E5)-ROW($C$4))*7)=0, "", INDIRECT("Sheet2!F" &amp; 9 + (ROW(E5)-ROW($C$4))*7))</f>
        <v/>
      </c>
      <c r="F5" s="19" t="str" cm="1">
        <f t="array" aca="1" ref="F5" ca="1">IF(INDIRECT("Sheet2!G" &amp; 9 + (ROW(F5)-ROW($C$4))*7)=0, "", INDIRECT("Sheet2!G" &amp; 9 + (ROW(F5)-ROW($C$4))*7))</f>
        <v/>
      </c>
      <c r="G5" s="19" t="str" cm="1">
        <f t="array" aca="1" ref="G5" ca="1">IF(INDIRECT("Sheet2!H" &amp; 9 + (ROW(G5)-ROW($C$4))*7)=0, "", INDIRECT("Sheet2!H" &amp; 9 + (ROW(G5)-ROW($C$4))*7))</f>
        <v/>
      </c>
      <c r="H5" s="19" t="str" cm="1">
        <f t="array" aca="1" ref="H5" ca="1">IF(INDIRECT("Sheet2!I" &amp; 9 + (ROW(H5)-ROW($C$4))*7)=0, "", INDIRECT("Sheet2!I" &amp; 9 + (ROW(H5)-ROW($C$4))*7))</f>
        <v/>
      </c>
      <c r="I5" s="19" t="str" cm="1">
        <f t="array" aca="1" ref="I5" ca="1">IF(INDIRECT("Sheet2!J" &amp; 9 + (ROW(I5)-ROW($C$4))*7)=0, "", INDIRECT("Sheet2!J" &amp; 9 + (ROW(I5)-ROW($C$4))*7))</f>
        <v/>
      </c>
      <c r="J5" s="19" t="str" cm="1">
        <f t="array" aca="1" ref="J5" ca="1">IF(INDIRECT("Sheet2!K" &amp; 9 + (ROW(J5)-ROW($C$4))*7)=0, "", INDIRECT("Sheet2!K" &amp; 9 + (ROW(J5)-ROW($C$4))*7))</f>
        <v/>
      </c>
      <c r="K5" s="19" t="str" cm="1">
        <f t="array" aca="1" ref="K5" ca="1">IF(INDIRECT("Sheet2!L" &amp; 9 + (ROW(K5)-ROW($C$4))*7)=0, "", INDIRECT("Sheet2!L" &amp; 9 + (ROW(K5)-ROW($C$4))*7))</f>
        <v/>
      </c>
      <c r="L5" s="19" t="str" cm="1">
        <f t="array" aca="1" ref="L5" ca="1">IF(INDIRECT("Sheet2!M" &amp; 9 + (ROW(L5)-ROW($C$4))*7)=0, "", INDIRECT("Sheet2!M" &amp; 9 + (ROW(L5)-ROW($C$4))*7))</f>
        <v/>
      </c>
      <c r="M5" s="19" t="str" cm="1">
        <f t="array" aca="1" ref="M5" ca="1">IF(INDIRECT("Sheet2!N" &amp; 9 + (ROW(M5)-ROW($C$4))*7)=0, "", INDIRECT("Sheet2!N" &amp; 9 + (ROW(M5)-ROW($C$4))*7))</f>
        <v/>
      </c>
      <c r="N5" s="19" t="str" cm="1">
        <f t="array" aca="1" ref="N5" ca="1">IF(INDIRECT("Sheet2!O" &amp; 9 + (ROW(O5)-ROW($C$4))*7)=0, "", INDIRECT("Sheet2!O" &amp; 9 + (ROW(O5)-ROW($C$4))*7))</f>
        <v/>
      </c>
      <c r="O5" s="19" t="str" cm="1">
        <f t="array" aca="1" ref="O5" ca="1">IF(INDIRECT("Sheet2!P" &amp; 9 + (ROW(P5)-ROW($C$4))*7)=0, "", INDIRECT("Sheet2!P" &amp; 9 + (ROW(P5)-ROW($C$4))*7))</f>
        <v/>
      </c>
    </row>
    <row r="6" spans="2:15" ht="18.75" x14ac:dyDescent="0.25">
      <c r="B6" s="1" t="s">
        <v>7</v>
      </c>
      <c r="C6" s="19" t="str" cm="1">
        <f t="array" aca="1" ref="C6" ca="1">IF(INDIRECT("Sheet2!D" &amp; 9 + (ROW(C6)-ROW($C$4))*7)=0, "", INDIRECT("Sheet2!D" &amp; 9 + (ROW(C6)-ROW($C$4))*7))</f>
        <v/>
      </c>
      <c r="D6" s="19" t="str" cm="1">
        <f t="array" aca="1" ref="D6" ca="1">IF(INDIRECT("Sheet2!E" &amp; 9 + (ROW(D6)-ROW($C$4))*7)=0, "", INDIRECT("Sheet2!E" &amp; 9 + (ROW(D6)-ROW($C$4))*7))</f>
        <v/>
      </c>
      <c r="E6" s="19" t="str" cm="1">
        <f t="array" aca="1" ref="E6" ca="1">IF(INDIRECT("Sheet2!F" &amp; 9 + (ROW(E6)-ROW($C$4))*7)=0, "", INDIRECT("Sheet2!F" &amp; 9 + (ROW(E6)-ROW($C$4))*7))</f>
        <v/>
      </c>
      <c r="F6" s="19" t="str" cm="1">
        <f t="array" aca="1" ref="F6" ca="1">IF(INDIRECT("Sheet2!G" &amp; 9 + (ROW(F6)-ROW($C$4))*7)=0, "", INDIRECT("Sheet2!G" &amp; 9 + (ROW(F6)-ROW($C$4))*7))</f>
        <v/>
      </c>
      <c r="G6" s="19" t="str" cm="1">
        <f t="array" aca="1" ref="G6" ca="1">IF(INDIRECT("Sheet2!H" &amp; 9 + (ROW(G6)-ROW($C$4))*7)=0, "", INDIRECT("Sheet2!H" &amp; 9 + (ROW(G6)-ROW($C$4))*7))</f>
        <v/>
      </c>
      <c r="H6" s="19" t="str" cm="1">
        <f t="array" aca="1" ref="H6" ca="1">IF(INDIRECT("Sheet2!I" &amp; 9 + (ROW(H6)-ROW($C$4))*7)=0, "", INDIRECT("Sheet2!I" &amp; 9 + (ROW(H6)-ROW($C$4))*7))</f>
        <v/>
      </c>
      <c r="I6" s="19" t="str" cm="1">
        <f t="array" aca="1" ref="I6" ca="1">IF(INDIRECT("Sheet2!J" &amp; 9 + (ROW(I6)-ROW($C$4))*7)=0, "", INDIRECT("Sheet2!J" &amp; 9 + (ROW(I6)-ROW($C$4))*7))</f>
        <v/>
      </c>
      <c r="J6" s="19" t="str" cm="1">
        <f t="array" aca="1" ref="J6" ca="1">IF(INDIRECT("Sheet2!K" &amp; 9 + (ROW(J6)-ROW($C$4))*7)=0, "", INDIRECT("Sheet2!K" &amp; 9 + (ROW(J6)-ROW($C$4))*7))</f>
        <v/>
      </c>
      <c r="K6" s="19" t="str" cm="1">
        <f t="array" aca="1" ref="K6" ca="1">IF(INDIRECT("Sheet2!L" &amp; 9 + (ROW(K6)-ROW($C$4))*7)=0, "", INDIRECT("Sheet2!L" &amp; 9 + (ROW(K6)-ROW($C$4))*7))</f>
        <v/>
      </c>
      <c r="L6" s="19" t="str" cm="1">
        <f t="array" aca="1" ref="L6" ca="1">IF(INDIRECT("Sheet2!M" &amp; 9 + (ROW(L6)-ROW($C$4))*7)=0, "", INDIRECT("Sheet2!M" &amp; 9 + (ROW(L6)-ROW($C$4))*7))</f>
        <v/>
      </c>
      <c r="M6" s="19" t="str" cm="1">
        <f t="array" aca="1" ref="M6" ca="1">IF(INDIRECT("Sheet2!N" &amp; 9 + (ROW(M6)-ROW($C$4))*7)=0, "", INDIRECT("Sheet2!N" &amp; 9 + (ROW(M6)-ROW($C$4))*7))</f>
        <v/>
      </c>
      <c r="N6" s="19" t="str" cm="1">
        <f t="array" aca="1" ref="N6" ca="1">IF(INDIRECT("Sheet2!O" &amp; 9 + (ROW(O6)-ROW($C$4))*7)=0, "", INDIRECT("Sheet2!O" &amp; 9 + (ROW(O6)-ROW($C$4))*7))</f>
        <v/>
      </c>
      <c r="O6" s="19" t="str" cm="1">
        <f t="array" aca="1" ref="O6" ca="1">IF(INDIRECT("Sheet2!P" &amp; 9 + (ROW(P6)-ROW($C$4))*7)=0, "", INDIRECT("Sheet2!P" &amp; 9 + (ROW(P6)-ROW($C$4))*7))</f>
        <v/>
      </c>
    </row>
    <row r="7" spans="2:15" ht="18.75" x14ac:dyDescent="0.25">
      <c r="B7" s="1" t="s">
        <v>8</v>
      </c>
      <c r="C7" s="19" t="str" cm="1">
        <f t="array" aca="1" ref="C7" ca="1">IF(INDIRECT("Sheet2!D" &amp; 9 + (ROW(C7)-ROW($C$4))*7)=0, "", INDIRECT("Sheet2!D" &amp; 9 + (ROW(C7)-ROW($C$4))*7))</f>
        <v/>
      </c>
      <c r="D7" s="19" t="str" cm="1">
        <f t="array" aca="1" ref="D7" ca="1">IF(INDIRECT("Sheet2!E" &amp; 9 + (ROW(D7)-ROW($C$4))*7)=0, "", INDIRECT("Sheet2!E" &amp; 9 + (ROW(D7)-ROW($C$4))*7))</f>
        <v/>
      </c>
      <c r="E7" s="19" t="str" cm="1">
        <f t="array" aca="1" ref="E7" ca="1">IF(INDIRECT("Sheet2!F" &amp; 9 + (ROW(E7)-ROW($C$4))*7)=0, "", INDIRECT("Sheet2!F" &amp; 9 + (ROW(E7)-ROW($C$4))*7))</f>
        <v/>
      </c>
      <c r="F7" s="19" t="str" cm="1">
        <f t="array" aca="1" ref="F7" ca="1">IF(INDIRECT("Sheet2!G" &amp; 9 + (ROW(F7)-ROW($C$4))*7)=0, "", INDIRECT("Sheet2!G" &amp; 9 + (ROW(F7)-ROW($C$4))*7))</f>
        <v/>
      </c>
      <c r="G7" s="19" t="str" cm="1">
        <f t="array" aca="1" ref="G7" ca="1">IF(INDIRECT("Sheet2!H" &amp; 9 + (ROW(G7)-ROW($C$4))*7)=0, "", INDIRECT("Sheet2!H" &amp; 9 + (ROW(G7)-ROW($C$4))*7))</f>
        <v/>
      </c>
      <c r="H7" s="19" t="str" cm="1">
        <f t="array" aca="1" ref="H7" ca="1">IF(INDIRECT("Sheet2!I" &amp; 9 + (ROW(H7)-ROW($C$4))*7)=0, "", INDIRECT("Sheet2!I" &amp; 9 + (ROW(H7)-ROW($C$4))*7))</f>
        <v/>
      </c>
      <c r="I7" s="19" t="str" cm="1">
        <f t="array" aca="1" ref="I7" ca="1">IF(INDIRECT("Sheet2!J" &amp; 9 + (ROW(I7)-ROW($C$4))*7)=0, "", INDIRECT("Sheet2!J" &amp; 9 + (ROW(I7)-ROW($C$4))*7))</f>
        <v/>
      </c>
      <c r="J7" s="19" t="str" cm="1">
        <f t="array" aca="1" ref="J7" ca="1">IF(INDIRECT("Sheet2!K" &amp; 9 + (ROW(J7)-ROW($C$4))*7)=0, "", INDIRECT("Sheet2!K" &amp; 9 + (ROW(J7)-ROW($C$4))*7))</f>
        <v/>
      </c>
      <c r="K7" s="19" t="str" cm="1">
        <f t="array" aca="1" ref="K7" ca="1">IF(INDIRECT("Sheet2!L" &amp; 9 + (ROW(K7)-ROW($C$4))*7)=0, "", INDIRECT("Sheet2!L" &amp; 9 + (ROW(K7)-ROW($C$4))*7))</f>
        <v/>
      </c>
      <c r="L7" s="19" t="str" cm="1">
        <f t="array" aca="1" ref="L7" ca="1">IF(INDIRECT("Sheet2!M" &amp; 9 + (ROW(L7)-ROW($C$4))*7)=0, "", INDIRECT("Sheet2!M" &amp; 9 + (ROW(L7)-ROW($C$4))*7))</f>
        <v/>
      </c>
      <c r="M7" s="19" t="str" cm="1">
        <f t="array" aca="1" ref="M7" ca="1">IF(INDIRECT("Sheet2!N" &amp; 9 + (ROW(M7)-ROW($C$4))*7)=0, "", INDIRECT("Sheet2!N" &amp; 9 + (ROW(M7)-ROW($C$4))*7))</f>
        <v/>
      </c>
      <c r="N7" s="19" t="str" cm="1">
        <f t="array" aca="1" ref="N7" ca="1">IF(INDIRECT("Sheet2!O" &amp; 9 + (ROW(O7)-ROW($C$4))*7)=0, "", INDIRECT("Sheet2!O" &amp; 9 + (ROW(O7)-ROW($C$4))*7))</f>
        <v/>
      </c>
      <c r="O7" s="19" t="str" cm="1">
        <f t="array" aca="1" ref="O7" ca="1">IF(INDIRECT("Sheet2!P" &amp; 9 + (ROW(P7)-ROW($C$4))*7)=0, "", INDIRECT("Sheet2!P" &amp; 9 + (ROW(P7)-ROW($C$4))*7))</f>
        <v/>
      </c>
    </row>
    <row r="8" spans="2:15" ht="18.75" x14ac:dyDescent="0.25">
      <c r="B8" s="1" t="s">
        <v>9</v>
      </c>
      <c r="C8" s="19" t="str" cm="1">
        <f t="array" aca="1" ref="C8" ca="1">IF(INDIRECT("Sheet2!D" &amp; 9 + (ROW(C8)-ROW($C$4))*7)=0, "", INDIRECT("Sheet2!D" &amp; 9 + (ROW(C8)-ROW($C$4))*7))</f>
        <v/>
      </c>
      <c r="D8" s="19" t="str" cm="1">
        <f t="array" aca="1" ref="D8" ca="1">IF(INDIRECT("Sheet2!E" &amp; 9 + (ROW(D8)-ROW($C$4))*7)=0, "", INDIRECT("Sheet2!E" &amp; 9 + (ROW(D8)-ROW($C$4))*7))</f>
        <v/>
      </c>
      <c r="E8" s="19" t="str" cm="1">
        <f t="array" aca="1" ref="E8" ca="1">IF(INDIRECT("Sheet2!F" &amp; 9 + (ROW(E8)-ROW($C$4))*7)=0, "", INDIRECT("Sheet2!F" &amp; 9 + (ROW(E8)-ROW($C$4))*7))</f>
        <v/>
      </c>
      <c r="F8" s="19" t="str" cm="1">
        <f t="array" aca="1" ref="F8" ca="1">IF(INDIRECT("Sheet2!G" &amp; 9 + (ROW(F8)-ROW($C$4))*7)=0, "", INDIRECT("Sheet2!G" &amp; 9 + (ROW(F8)-ROW($C$4))*7))</f>
        <v/>
      </c>
      <c r="G8" s="19" t="str" cm="1">
        <f t="array" aca="1" ref="G8" ca="1">IF(INDIRECT("Sheet2!H" &amp; 9 + (ROW(G8)-ROW($C$4))*7)=0, "", INDIRECT("Sheet2!H" &amp; 9 + (ROW(G8)-ROW($C$4))*7))</f>
        <v/>
      </c>
      <c r="H8" s="19" t="str" cm="1">
        <f t="array" aca="1" ref="H8" ca="1">IF(INDIRECT("Sheet2!I" &amp; 9 + (ROW(H8)-ROW($C$4))*7)=0, "", INDIRECT("Sheet2!I" &amp; 9 + (ROW(H8)-ROW($C$4))*7))</f>
        <v/>
      </c>
      <c r="I8" s="19" t="str" cm="1">
        <f t="array" aca="1" ref="I8" ca="1">IF(INDIRECT("Sheet2!J" &amp; 9 + (ROW(I8)-ROW($C$4))*7)=0, "", INDIRECT("Sheet2!J" &amp; 9 + (ROW(I8)-ROW($C$4))*7))</f>
        <v/>
      </c>
      <c r="J8" s="19" t="str" cm="1">
        <f t="array" aca="1" ref="J8" ca="1">IF(INDIRECT("Sheet2!K" &amp; 9 + (ROW(J8)-ROW($C$4))*7)=0, "", INDIRECT("Sheet2!K" &amp; 9 + (ROW(J8)-ROW($C$4))*7))</f>
        <v/>
      </c>
      <c r="K8" s="19" t="str" cm="1">
        <f t="array" aca="1" ref="K8" ca="1">IF(INDIRECT("Sheet2!L" &amp; 9 + (ROW(K8)-ROW($C$4))*7)=0, "", INDIRECT("Sheet2!L" &amp; 9 + (ROW(K8)-ROW($C$4))*7))</f>
        <v/>
      </c>
      <c r="L8" s="19" t="str" cm="1">
        <f t="array" aca="1" ref="L8" ca="1">IF(INDIRECT("Sheet2!M" &amp; 9 + (ROW(L8)-ROW($C$4))*7)=0, "", INDIRECT("Sheet2!M" &amp; 9 + (ROW(L8)-ROW($C$4))*7))</f>
        <v/>
      </c>
      <c r="M8" s="19" t="str" cm="1">
        <f t="array" aca="1" ref="M8" ca="1">IF(INDIRECT("Sheet2!N" &amp; 9 + (ROW(M8)-ROW($C$4))*7)=0, "", INDIRECT("Sheet2!N" &amp; 9 + (ROW(M8)-ROW($C$4))*7))</f>
        <v/>
      </c>
      <c r="N8" s="19" t="str" cm="1">
        <f t="array" aca="1" ref="N8" ca="1">IF(INDIRECT("Sheet2!O" &amp; 9 + (ROW(O8)-ROW($C$4))*7)=0, "", INDIRECT("Sheet2!O" &amp; 9 + (ROW(O8)-ROW($C$4))*7))</f>
        <v/>
      </c>
      <c r="O8" s="19" t="str" cm="1">
        <f t="array" aca="1" ref="O8" ca="1">IF(INDIRECT("Sheet2!P" &amp; 9 + (ROW(P8)-ROW($C$4))*7)=0, "", INDIRECT("Sheet2!P" &amp; 9 + (ROW(P8)-ROW($C$4))*7))</f>
        <v/>
      </c>
    </row>
    <row r="9" spans="2:15" ht="18.75" x14ac:dyDescent="0.25">
      <c r="B9" s="1" t="s">
        <v>10</v>
      </c>
      <c r="C9" s="19" t="str" cm="1">
        <f t="array" aca="1" ref="C9" ca="1">IF(INDIRECT("Sheet2!D" &amp; 9 + (ROW(C9)-ROW($C$4))*7)=0, "", INDIRECT("Sheet2!D" &amp; 9 + (ROW(C9)-ROW($C$4))*7))</f>
        <v/>
      </c>
      <c r="D9" s="19" t="str" cm="1">
        <f t="array" aca="1" ref="D9" ca="1">IF(INDIRECT("Sheet2!E" &amp; 9 + (ROW(D9)-ROW($C$4))*7)=0, "", INDIRECT("Sheet2!E" &amp; 9 + (ROW(D9)-ROW($C$4))*7))</f>
        <v/>
      </c>
      <c r="E9" s="19" t="str" cm="1">
        <f t="array" aca="1" ref="E9" ca="1">IF(INDIRECT("Sheet2!F" &amp; 9 + (ROW(E9)-ROW($C$4))*7)=0, "", INDIRECT("Sheet2!F" &amp; 9 + (ROW(E9)-ROW($C$4))*7))</f>
        <v/>
      </c>
      <c r="F9" s="19" t="str" cm="1">
        <f t="array" aca="1" ref="F9" ca="1">IF(INDIRECT("Sheet2!G" &amp; 9 + (ROW(F9)-ROW($C$4))*7)=0, "", INDIRECT("Sheet2!G" &amp; 9 + (ROW(F9)-ROW($C$4))*7))</f>
        <v/>
      </c>
      <c r="G9" s="19" t="str" cm="1">
        <f t="array" aca="1" ref="G9" ca="1">IF(INDIRECT("Sheet2!H" &amp; 9 + (ROW(G9)-ROW($C$4))*7)=0, "", INDIRECT("Sheet2!H" &amp; 9 + (ROW(G9)-ROW($C$4))*7))</f>
        <v/>
      </c>
      <c r="H9" s="19" t="str" cm="1">
        <f t="array" aca="1" ref="H9" ca="1">IF(INDIRECT("Sheet2!I" &amp; 9 + (ROW(H9)-ROW($C$4))*7)=0, "", INDIRECT("Sheet2!I" &amp; 9 + (ROW(H9)-ROW($C$4))*7))</f>
        <v/>
      </c>
      <c r="I9" s="19" t="str" cm="1">
        <f t="array" aca="1" ref="I9" ca="1">IF(INDIRECT("Sheet2!J" &amp; 9 + (ROW(I9)-ROW($C$4))*7)=0, "", INDIRECT("Sheet2!J" &amp; 9 + (ROW(I9)-ROW($C$4))*7))</f>
        <v/>
      </c>
      <c r="J9" s="19" t="str" cm="1">
        <f t="array" aca="1" ref="J9" ca="1">IF(INDIRECT("Sheet2!K" &amp; 9 + (ROW(J9)-ROW($C$4))*7)=0, "", INDIRECT("Sheet2!K" &amp; 9 + (ROW(J9)-ROW($C$4))*7))</f>
        <v/>
      </c>
      <c r="K9" s="19" t="str" cm="1">
        <f t="array" aca="1" ref="K9" ca="1">IF(INDIRECT("Sheet2!L" &amp; 9 + (ROW(K9)-ROW($C$4))*7)=0, "", INDIRECT("Sheet2!L" &amp; 9 + (ROW(K9)-ROW($C$4))*7))</f>
        <v/>
      </c>
      <c r="L9" s="19" t="str" cm="1">
        <f t="array" aca="1" ref="L9" ca="1">IF(INDIRECT("Sheet2!M" &amp; 9 + (ROW(L9)-ROW($C$4))*7)=0, "", INDIRECT("Sheet2!M" &amp; 9 + (ROW(L9)-ROW($C$4))*7))</f>
        <v/>
      </c>
      <c r="M9" s="19" t="str" cm="1">
        <f t="array" aca="1" ref="M9" ca="1">IF(INDIRECT("Sheet2!N" &amp; 9 + (ROW(M9)-ROW($C$4))*7)=0, "", INDIRECT("Sheet2!N" &amp; 9 + (ROW(M9)-ROW($C$4))*7))</f>
        <v/>
      </c>
      <c r="N9" s="19" t="str" cm="1">
        <f t="array" aca="1" ref="N9" ca="1">IF(INDIRECT("Sheet2!O" &amp; 9 + (ROW(O9)-ROW($C$4))*7)=0, "", INDIRECT("Sheet2!O" &amp; 9 + (ROW(O9)-ROW($C$4))*7))</f>
        <v/>
      </c>
      <c r="O9" s="19" t="str" cm="1">
        <f t="array" aca="1" ref="O9" ca="1">IF(INDIRECT("Sheet2!P" &amp; 9 + (ROW(P9)-ROW($C$4))*7)=0, "", INDIRECT("Sheet2!P" &amp; 9 + (ROW(P9)-ROW($C$4))*7))</f>
        <v/>
      </c>
    </row>
    <row r="10" spans="2:15" ht="18.75" x14ac:dyDescent="0.25">
      <c r="B10" s="1" t="s">
        <v>11</v>
      </c>
      <c r="C10" s="19" t="str" cm="1">
        <f t="array" aca="1" ref="C10" ca="1">IF(INDIRECT("Sheet2!D" &amp; 9 + (ROW(C10)-ROW($C$4))*7)=0, "", INDIRECT("Sheet2!D" &amp; 9 + (ROW(C10)-ROW($C$4))*7))</f>
        <v/>
      </c>
      <c r="D10" s="19" t="str" cm="1">
        <f t="array" aca="1" ref="D10" ca="1">IF(INDIRECT("Sheet2!E" &amp; 9 + (ROW(D10)-ROW($C$4))*7)=0, "", INDIRECT("Sheet2!E" &amp; 9 + (ROW(D10)-ROW($C$4))*7))</f>
        <v/>
      </c>
      <c r="E10" s="19" t="str" cm="1">
        <f t="array" aca="1" ref="E10" ca="1">IF(INDIRECT("Sheet2!F" &amp; 9 + (ROW(E10)-ROW($C$4))*7)=0, "", INDIRECT("Sheet2!F" &amp; 9 + (ROW(E10)-ROW($C$4))*7))</f>
        <v/>
      </c>
      <c r="F10" s="19" t="str" cm="1">
        <f t="array" aca="1" ref="F10" ca="1">IF(INDIRECT("Sheet2!G" &amp; 9 + (ROW(F10)-ROW($C$4))*7)=0, "", INDIRECT("Sheet2!G" &amp; 9 + (ROW(F10)-ROW($C$4))*7))</f>
        <v/>
      </c>
      <c r="G10" s="19" t="str" cm="1">
        <f t="array" aca="1" ref="G10" ca="1">IF(INDIRECT("Sheet2!H" &amp; 9 + (ROW(G10)-ROW($C$4))*7)=0, "", INDIRECT("Sheet2!H" &amp; 9 + (ROW(G10)-ROW($C$4))*7))</f>
        <v/>
      </c>
      <c r="H10" s="19" t="str" cm="1">
        <f t="array" aca="1" ref="H10" ca="1">IF(INDIRECT("Sheet2!I" &amp; 9 + (ROW(H10)-ROW($C$4))*7)=0, "", INDIRECT("Sheet2!I" &amp; 9 + (ROW(H10)-ROW($C$4))*7))</f>
        <v/>
      </c>
      <c r="I10" s="19" t="str" cm="1">
        <f t="array" aca="1" ref="I10" ca="1">IF(INDIRECT("Sheet2!J" &amp; 9 + (ROW(I10)-ROW($C$4))*7)=0, "", INDIRECT("Sheet2!J" &amp; 9 + (ROW(I10)-ROW($C$4))*7))</f>
        <v/>
      </c>
      <c r="J10" s="19" t="str" cm="1">
        <f t="array" aca="1" ref="J10" ca="1">IF(INDIRECT("Sheet2!K" &amp; 9 + (ROW(J10)-ROW($C$4))*7)=0, "", INDIRECT("Sheet2!K" &amp; 9 + (ROW(J10)-ROW($C$4))*7))</f>
        <v/>
      </c>
      <c r="K10" s="19" t="str" cm="1">
        <f t="array" aca="1" ref="K10" ca="1">IF(INDIRECT("Sheet2!L" &amp; 9 + (ROW(K10)-ROW($C$4))*7)=0, "", INDIRECT("Sheet2!L" &amp; 9 + (ROW(K10)-ROW($C$4))*7))</f>
        <v/>
      </c>
      <c r="L10" s="19" t="str" cm="1">
        <f t="array" aca="1" ref="L10" ca="1">IF(INDIRECT("Sheet2!M" &amp; 9 + (ROW(L10)-ROW($C$4))*7)=0, "", INDIRECT("Sheet2!M" &amp; 9 + (ROW(L10)-ROW($C$4))*7))</f>
        <v/>
      </c>
      <c r="M10" s="19" t="str" cm="1">
        <f t="array" aca="1" ref="M10" ca="1">IF(INDIRECT("Sheet2!N" &amp; 9 + (ROW(M10)-ROW($C$4))*7)=0, "", INDIRECT("Sheet2!N" &amp; 9 + (ROW(M10)-ROW($C$4))*7))</f>
        <v/>
      </c>
      <c r="N10" s="19" t="str" cm="1">
        <f t="array" aca="1" ref="N10" ca="1">IF(INDIRECT("Sheet2!O" &amp; 9 + (ROW(O10)-ROW($C$4))*7)=0, "", INDIRECT("Sheet2!O" &amp; 9 + (ROW(O10)-ROW($C$4))*7))</f>
        <v/>
      </c>
      <c r="O10" s="19" t="str" cm="1">
        <f t="array" aca="1" ref="O10" ca="1">IF(INDIRECT("Sheet2!P" &amp; 9 + (ROW(P10)-ROW($C$4))*7)=0, "", INDIRECT("Sheet2!P" &amp; 9 + (ROW(P10)-ROW($C$4))*7))</f>
        <v/>
      </c>
    </row>
    <row r="11" spans="2:15" ht="18.75" x14ac:dyDescent="0.25">
      <c r="B11" s="1" t="s">
        <v>12</v>
      </c>
      <c r="C11" s="19" t="str" cm="1">
        <f t="array" aca="1" ref="C11" ca="1">IF(INDIRECT("Sheet2!D" &amp; 9 + (ROW(C11)-ROW($C$4))*7)=0, "", INDIRECT("Sheet2!D" &amp; 9 + (ROW(C11)-ROW($C$4))*7))</f>
        <v/>
      </c>
      <c r="D11" s="19" t="str" cm="1">
        <f t="array" aca="1" ref="D11" ca="1">IF(INDIRECT("Sheet2!E" &amp; 9 + (ROW(D11)-ROW($C$4))*7)=0, "", INDIRECT("Sheet2!E" &amp; 9 + (ROW(D11)-ROW($C$4))*7))</f>
        <v/>
      </c>
      <c r="E11" s="19" t="str" cm="1">
        <f t="array" aca="1" ref="E11" ca="1">IF(INDIRECT("Sheet2!F" &amp; 9 + (ROW(E11)-ROW($C$4))*7)=0, "", INDIRECT("Sheet2!F" &amp; 9 + (ROW(E11)-ROW($C$4))*7))</f>
        <v/>
      </c>
      <c r="F11" s="19" t="str" cm="1">
        <f t="array" aca="1" ref="F11" ca="1">IF(INDIRECT("Sheet2!G" &amp; 9 + (ROW(F11)-ROW($C$4))*7)=0, "", INDIRECT("Sheet2!G" &amp; 9 + (ROW(F11)-ROW($C$4))*7))</f>
        <v/>
      </c>
      <c r="G11" s="19" t="str" cm="1">
        <f t="array" aca="1" ref="G11" ca="1">IF(INDIRECT("Sheet2!H" &amp; 9 + (ROW(G11)-ROW($C$4))*7)=0, "", INDIRECT("Sheet2!H" &amp; 9 + (ROW(G11)-ROW($C$4))*7))</f>
        <v/>
      </c>
      <c r="H11" s="19" t="str" cm="1">
        <f t="array" aca="1" ref="H11" ca="1">IF(INDIRECT("Sheet2!I" &amp; 9 + (ROW(H11)-ROW($C$4))*7)=0, "", INDIRECT("Sheet2!I" &amp; 9 + (ROW(H11)-ROW($C$4))*7))</f>
        <v/>
      </c>
      <c r="I11" s="19" t="str" cm="1">
        <f t="array" aca="1" ref="I11" ca="1">IF(INDIRECT("Sheet2!J" &amp; 9 + (ROW(I11)-ROW($C$4))*7)=0, "", INDIRECT("Sheet2!J" &amp; 9 + (ROW(I11)-ROW($C$4))*7))</f>
        <v/>
      </c>
      <c r="J11" s="19" t="str" cm="1">
        <f t="array" aca="1" ref="J11" ca="1">IF(INDIRECT("Sheet2!K" &amp; 9 + (ROW(J11)-ROW($C$4))*7)=0, "", INDIRECT("Sheet2!K" &amp; 9 + (ROW(J11)-ROW($C$4))*7))</f>
        <v/>
      </c>
      <c r="K11" s="19" t="str" cm="1">
        <f t="array" aca="1" ref="K11" ca="1">IF(INDIRECT("Sheet2!L" &amp; 9 + (ROW(K11)-ROW($C$4))*7)=0, "", INDIRECT("Sheet2!L" &amp; 9 + (ROW(K11)-ROW($C$4))*7))</f>
        <v/>
      </c>
      <c r="L11" s="19" t="str" cm="1">
        <f t="array" aca="1" ref="L11" ca="1">IF(INDIRECT("Sheet2!M" &amp; 9 + (ROW(L11)-ROW($C$4))*7)=0, "", INDIRECT("Sheet2!M" &amp; 9 + (ROW(L11)-ROW($C$4))*7))</f>
        <v/>
      </c>
      <c r="M11" s="19" t="str" cm="1">
        <f t="array" aca="1" ref="M11" ca="1">IF(INDIRECT("Sheet2!N" &amp; 9 + (ROW(M11)-ROW($C$4))*7)=0, "", INDIRECT("Sheet2!N" &amp; 9 + (ROW(M11)-ROW($C$4))*7))</f>
        <v/>
      </c>
      <c r="N11" s="19" t="str" cm="1">
        <f t="array" aca="1" ref="N11" ca="1">IF(INDIRECT("Sheet2!O" &amp; 9 + (ROW(O11)-ROW($C$4))*7)=0, "", INDIRECT("Sheet2!O" &amp; 9 + (ROW(O11)-ROW($C$4))*7))</f>
        <v/>
      </c>
      <c r="O11" s="19" t="str" cm="1">
        <f t="array" aca="1" ref="O11" ca="1">IF(INDIRECT("Sheet2!P" &amp; 9 + (ROW(P11)-ROW($C$4))*7)=0, "", INDIRECT("Sheet2!P" &amp; 9 + (ROW(P11)-ROW($C$4))*7))</f>
        <v/>
      </c>
    </row>
    <row r="12" spans="2:15" ht="18.75" x14ac:dyDescent="0.25">
      <c r="B12" s="1" t="s">
        <v>13</v>
      </c>
      <c r="C12" s="19" t="str" cm="1">
        <f t="array" aca="1" ref="C12" ca="1">IF(INDIRECT("Sheet2!D" &amp; 9 + (ROW(C12)-ROW($C$4))*7)=0, "", INDIRECT("Sheet2!D" &amp; 9 + (ROW(C12)-ROW($C$4))*7))</f>
        <v/>
      </c>
      <c r="D12" s="19" t="str" cm="1">
        <f t="array" aca="1" ref="D12" ca="1">IF(INDIRECT("Sheet2!E" &amp; 9 + (ROW(D12)-ROW($C$4))*7)=0, "", INDIRECT("Sheet2!E" &amp; 9 + (ROW(D12)-ROW($C$4))*7))</f>
        <v/>
      </c>
      <c r="E12" s="19" t="str" cm="1">
        <f t="array" aca="1" ref="E12" ca="1">IF(INDIRECT("Sheet2!F" &amp; 9 + (ROW(E12)-ROW($C$4))*7)=0, "", INDIRECT("Sheet2!F" &amp; 9 + (ROW(E12)-ROW($C$4))*7))</f>
        <v/>
      </c>
      <c r="F12" s="19" t="str" cm="1">
        <f t="array" aca="1" ref="F12" ca="1">IF(INDIRECT("Sheet2!G" &amp; 9 + (ROW(F12)-ROW($C$4))*7)=0, "", INDIRECT("Sheet2!G" &amp; 9 + (ROW(F12)-ROW($C$4))*7))</f>
        <v/>
      </c>
      <c r="G12" s="19" t="str" cm="1">
        <f t="array" aca="1" ref="G12" ca="1">IF(INDIRECT("Sheet2!H" &amp; 9 + (ROW(G12)-ROW($C$4))*7)=0, "", INDIRECT("Sheet2!H" &amp; 9 + (ROW(G12)-ROW($C$4))*7))</f>
        <v/>
      </c>
      <c r="H12" s="19" t="str" cm="1">
        <f t="array" aca="1" ref="H12" ca="1">IF(INDIRECT("Sheet2!I" &amp; 9 + (ROW(H12)-ROW($C$4))*7)=0, "", INDIRECT("Sheet2!I" &amp; 9 + (ROW(H12)-ROW($C$4))*7))</f>
        <v/>
      </c>
      <c r="I12" s="19" t="str" cm="1">
        <f t="array" aca="1" ref="I12" ca="1">IF(INDIRECT("Sheet2!J" &amp; 9 + (ROW(I12)-ROW($C$4))*7)=0, "", INDIRECT("Sheet2!J" &amp; 9 + (ROW(I12)-ROW($C$4))*7))</f>
        <v/>
      </c>
      <c r="J12" s="19" t="str" cm="1">
        <f t="array" aca="1" ref="J12" ca="1">IF(INDIRECT("Sheet2!K" &amp; 9 + (ROW(J12)-ROW($C$4))*7)=0, "", INDIRECT("Sheet2!K" &amp; 9 + (ROW(J12)-ROW($C$4))*7))</f>
        <v/>
      </c>
      <c r="K12" s="19" t="str" cm="1">
        <f t="array" aca="1" ref="K12" ca="1">IF(INDIRECT("Sheet2!L" &amp; 9 + (ROW(K12)-ROW($C$4))*7)=0, "", INDIRECT("Sheet2!L" &amp; 9 + (ROW(K12)-ROW($C$4))*7))</f>
        <v/>
      </c>
      <c r="L12" s="19" t="str" cm="1">
        <f t="array" aca="1" ref="L12" ca="1">IF(INDIRECT("Sheet2!M" &amp; 9 + (ROW(L12)-ROW($C$4))*7)=0, "", INDIRECT("Sheet2!M" &amp; 9 + (ROW(L12)-ROW($C$4))*7))</f>
        <v/>
      </c>
      <c r="M12" s="19" t="str" cm="1">
        <f t="array" aca="1" ref="M12" ca="1">IF(INDIRECT("Sheet2!N" &amp; 9 + (ROW(M12)-ROW($C$4))*7)=0, "", INDIRECT("Sheet2!N" &amp; 9 + (ROW(M12)-ROW($C$4))*7))</f>
        <v/>
      </c>
      <c r="N12" s="19" t="str" cm="1">
        <f t="array" aca="1" ref="N12" ca="1">IF(INDIRECT("Sheet2!O" &amp; 9 + (ROW(O12)-ROW($C$4))*7)=0, "", INDIRECT("Sheet2!O" &amp; 9 + (ROW(O12)-ROW($C$4))*7))</f>
        <v/>
      </c>
      <c r="O12" s="19" t="str" cm="1">
        <f t="array" aca="1" ref="O12" ca="1">IF(INDIRECT("Sheet2!P" &amp; 9 + (ROW(P12)-ROW($C$4))*7)=0, "", INDIRECT("Sheet2!P" &amp; 9 + (ROW(P12)-ROW($C$4))*7))</f>
        <v/>
      </c>
    </row>
    <row r="13" spans="2:15" ht="18.75" x14ac:dyDescent="0.25">
      <c r="B13" s="1" t="s">
        <v>14</v>
      </c>
      <c r="C13" s="19" t="str" cm="1">
        <f t="array" aca="1" ref="C13" ca="1">IF(INDIRECT("Sheet2!D" &amp; 9 + (ROW(C13)-ROW($C$4))*7)=0, "", INDIRECT("Sheet2!D" &amp; 9 + (ROW(C13)-ROW($C$4))*7))</f>
        <v/>
      </c>
      <c r="D13" s="19" t="str" cm="1">
        <f t="array" aca="1" ref="D13" ca="1">IF(INDIRECT("Sheet2!E" &amp; 9 + (ROW(D13)-ROW($C$4))*7)=0, "", INDIRECT("Sheet2!E" &amp; 9 + (ROW(D13)-ROW($C$4))*7))</f>
        <v/>
      </c>
      <c r="E13" s="19" t="str" cm="1">
        <f t="array" aca="1" ref="E13" ca="1">IF(INDIRECT("Sheet2!F" &amp; 9 + (ROW(E13)-ROW($C$4))*7)=0, "", INDIRECT("Sheet2!F" &amp; 9 + (ROW(E13)-ROW($C$4))*7))</f>
        <v/>
      </c>
      <c r="F13" s="19" t="str" cm="1">
        <f t="array" aca="1" ref="F13" ca="1">IF(INDIRECT("Sheet2!G" &amp; 9 + (ROW(F13)-ROW($C$4))*7)=0, "", INDIRECT("Sheet2!G" &amp; 9 + (ROW(F13)-ROW($C$4))*7))</f>
        <v/>
      </c>
      <c r="G13" s="19" t="str" cm="1">
        <f t="array" aca="1" ref="G13" ca="1">IF(INDIRECT("Sheet2!H" &amp; 9 + (ROW(G13)-ROW($C$4))*7)=0, "", INDIRECT("Sheet2!H" &amp; 9 + (ROW(G13)-ROW($C$4))*7))</f>
        <v/>
      </c>
      <c r="H13" s="19" t="str" cm="1">
        <f t="array" aca="1" ref="H13" ca="1">IF(INDIRECT("Sheet2!I" &amp; 9 + (ROW(H13)-ROW($C$4))*7)=0, "", INDIRECT("Sheet2!I" &amp; 9 + (ROW(H13)-ROW($C$4))*7))</f>
        <v/>
      </c>
      <c r="I13" s="19" t="str" cm="1">
        <f t="array" aca="1" ref="I13" ca="1">IF(INDIRECT("Sheet2!J" &amp; 9 + (ROW(I13)-ROW($C$4))*7)=0, "", INDIRECT("Sheet2!J" &amp; 9 + (ROW(I13)-ROW($C$4))*7))</f>
        <v/>
      </c>
      <c r="J13" s="19" t="str" cm="1">
        <f t="array" aca="1" ref="J13" ca="1">IF(INDIRECT("Sheet2!K" &amp; 9 + (ROW(J13)-ROW($C$4))*7)=0, "", INDIRECT("Sheet2!K" &amp; 9 + (ROW(J13)-ROW($C$4))*7))</f>
        <v/>
      </c>
      <c r="K13" s="19" t="str" cm="1">
        <f t="array" aca="1" ref="K13" ca="1">IF(INDIRECT("Sheet2!L" &amp; 9 + (ROW(K13)-ROW($C$4))*7)=0, "", INDIRECT("Sheet2!L" &amp; 9 + (ROW(K13)-ROW($C$4))*7))</f>
        <v/>
      </c>
      <c r="L13" s="19" t="str" cm="1">
        <f t="array" aca="1" ref="L13" ca="1">IF(INDIRECT("Sheet2!M" &amp; 9 + (ROW(L13)-ROW($C$4))*7)=0, "", INDIRECT("Sheet2!M" &amp; 9 + (ROW(L13)-ROW($C$4))*7))</f>
        <v/>
      </c>
      <c r="M13" s="19" t="str" cm="1">
        <f t="array" aca="1" ref="M13" ca="1">IF(INDIRECT("Sheet2!N" &amp; 9 + (ROW(M13)-ROW($C$4))*7)=0, "", INDIRECT("Sheet2!N" &amp; 9 + (ROW(M13)-ROW($C$4))*7))</f>
        <v/>
      </c>
      <c r="N13" s="19" t="str" cm="1">
        <f t="array" aca="1" ref="N13" ca="1">IF(INDIRECT("Sheet2!O" &amp; 9 + (ROW(O13)-ROW($C$4))*7)=0, "", INDIRECT("Sheet2!O" &amp; 9 + (ROW(O13)-ROW($C$4))*7))</f>
        <v/>
      </c>
      <c r="O13" s="19" t="str" cm="1">
        <f t="array" aca="1" ref="O13" ca="1">IF(INDIRECT("Sheet2!P" &amp; 9 + (ROW(P13)-ROW($C$4))*7)=0, "", INDIRECT("Sheet2!P" &amp; 9 + (ROW(P13)-ROW($C$4))*7))</f>
        <v/>
      </c>
    </row>
    <row r="14" spans="2:15" ht="18.75" x14ac:dyDescent="0.25">
      <c r="B14" s="1" t="s">
        <v>15</v>
      </c>
      <c r="C14" s="19" t="str" cm="1">
        <f t="array" aca="1" ref="C14" ca="1">IF(INDIRECT("Sheet2!D" &amp; 9 + (ROW(C14)-ROW($C$4))*7)=0, "", INDIRECT("Sheet2!D" &amp; 9 + (ROW(C14)-ROW($C$4))*7))</f>
        <v/>
      </c>
      <c r="D14" s="19" t="str" cm="1">
        <f t="array" aca="1" ref="D14" ca="1">IF(INDIRECT("Sheet2!E" &amp; 9 + (ROW(D14)-ROW($C$4))*7)=0, "", INDIRECT("Sheet2!E" &amp; 9 + (ROW(D14)-ROW($C$4))*7))</f>
        <v/>
      </c>
      <c r="E14" s="19" t="str" cm="1">
        <f t="array" aca="1" ref="E14" ca="1">IF(INDIRECT("Sheet2!F" &amp; 9 + (ROW(E14)-ROW($C$4))*7)=0, "", INDIRECT("Sheet2!F" &amp; 9 + (ROW(E14)-ROW($C$4))*7))</f>
        <v/>
      </c>
      <c r="F14" s="19" t="str" cm="1">
        <f t="array" aca="1" ref="F14" ca="1">IF(INDIRECT("Sheet2!G" &amp; 9 + (ROW(F14)-ROW($C$4))*7)=0, "", INDIRECT("Sheet2!G" &amp; 9 + (ROW(F14)-ROW($C$4))*7))</f>
        <v/>
      </c>
      <c r="G14" s="19" t="str" cm="1">
        <f t="array" aca="1" ref="G14" ca="1">IF(INDIRECT("Sheet2!H" &amp; 9 + (ROW(G14)-ROW($C$4))*7)=0, "", INDIRECT("Sheet2!H" &amp; 9 + (ROW(G14)-ROW($C$4))*7))</f>
        <v/>
      </c>
      <c r="H14" s="19" t="str" cm="1">
        <f t="array" aca="1" ref="H14" ca="1">IF(INDIRECT("Sheet2!I" &amp; 9 + (ROW(H14)-ROW($C$4))*7)=0, "", INDIRECT("Sheet2!I" &amp; 9 + (ROW(H14)-ROW($C$4))*7))</f>
        <v/>
      </c>
      <c r="I14" s="19" t="str" cm="1">
        <f t="array" aca="1" ref="I14" ca="1">IF(INDIRECT("Sheet2!J" &amp; 9 + (ROW(I14)-ROW($C$4))*7)=0, "", INDIRECT("Sheet2!J" &amp; 9 + (ROW(I14)-ROW($C$4))*7))</f>
        <v/>
      </c>
      <c r="J14" s="19" t="str" cm="1">
        <f t="array" aca="1" ref="J14" ca="1">IF(INDIRECT("Sheet2!K" &amp; 9 + (ROW(J14)-ROW($C$4))*7)=0, "", INDIRECT("Sheet2!K" &amp; 9 + (ROW(J14)-ROW($C$4))*7))</f>
        <v/>
      </c>
      <c r="K14" s="19" t="str" cm="1">
        <f t="array" aca="1" ref="K14" ca="1">IF(INDIRECT("Sheet2!L" &amp; 9 + (ROW(K14)-ROW($C$4))*7)=0, "", INDIRECT("Sheet2!L" &amp; 9 + (ROW(K14)-ROW($C$4))*7))</f>
        <v/>
      </c>
      <c r="L14" s="19" t="str" cm="1">
        <f t="array" aca="1" ref="L14" ca="1">IF(INDIRECT("Sheet2!M" &amp; 9 + (ROW(L14)-ROW($C$4))*7)=0, "", INDIRECT("Sheet2!M" &amp; 9 + (ROW(L14)-ROW($C$4))*7))</f>
        <v/>
      </c>
      <c r="M14" s="19" t="str" cm="1">
        <f t="array" aca="1" ref="M14" ca="1">IF(INDIRECT("Sheet2!N" &amp; 9 + (ROW(M14)-ROW($C$4))*7)=0, "", INDIRECT("Sheet2!N" &amp; 9 + (ROW(M14)-ROW($C$4))*7))</f>
        <v/>
      </c>
      <c r="N14" s="19" t="str" cm="1">
        <f t="array" aca="1" ref="N14" ca="1">IF(INDIRECT("Sheet2!O" &amp; 9 + (ROW(O14)-ROW($C$4))*7)=0, "", INDIRECT("Sheet2!O" &amp; 9 + (ROW(O14)-ROW($C$4))*7))</f>
        <v/>
      </c>
      <c r="O14" s="19" t="str" cm="1">
        <f t="array" aca="1" ref="O14" ca="1">IF(INDIRECT("Sheet2!P" &amp; 9 + (ROW(P14)-ROW($C$4))*7)=0, "", INDIRECT("Sheet2!P" &amp; 9 + (ROW(P14)-ROW($C$4))*7))</f>
        <v/>
      </c>
    </row>
    <row r="15" spans="2:15" ht="18.75" x14ac:dyDescent="0.25">
      <c r="B15" s="1" t="s">
        <v>16</v>
      </c>
      <c r="C15" s="19" t="str" cm="1">
        <f t="array" aca="1" ref="C15" ca="1">IF(INDIRECT("Sheet2!D" &amp; 9 + (ROW(C15)-ROW($C$4))*7)=0, "", INDIRECT("Sheet2!D" &amp; 9 + (ROW(C15)-ROW($C$4))*7))</f>
        <v/>
      </c>
      <c r="D15" s="19" t="str" cm="1">
        <f t="array" aca="1" ref="D15" ca="1">IF(INDIRECT("Sheet2!E" &amp; 9 + (ROW(D15)-ROW($C$4))*7)=0, "", INDIRECT("Sheet2!E" &amp; 9 + (ROW(D15)-ROW($C$4))*7))</f>
        <v/>
      </c>
      <c r="E15" s="19" t="str" cm="1">
        <f t="array" aca="1" ref="E15" ca="1">IF(INDIRECT("Sheet2!F" &amp; 9 + (ROW(E15)-ROW($C$4))*7)=0, "", INDIRECT("Sheet2!F" &amp; 9 + (ROW(E15)-ROW($C$4))*7))</f>
        <v/>
      </c>
      <c r="F15" s="19" t="str" cm="1">
        <f t="array" aca="1" ref="F15" ca="1">IF(INDIRECT("Sheet2!G" &amp; 9 + (ROW(F15)-ROW($C$4))*7)=0, "", INDIRECT("Sheet2!G" &amp; 9 + (ROW(F15)-ROW($C$4))*7))</f>
        <v/>
      </c>
      <c r="G15" s="19" t="str" cm="1">
        <f t="array" aca="1" ref="G15" ca="1">IF(INDIRECT("Sheet2!H" &amp; 9 + (ROW(G15)-ROW($C$4))*7)=0, "", INDIRECT("Sheet2!H" &amp; 9 + (ROW(G15)-ROW($C$4))*7))</f>
        <v/>
      </c>
      <c r="H15" s="19" t="str" cm="1">
        <f t="array" aca="1" ref="H15" ca="1">IF(INDIRECT("Sheet2!I" &amp; 9 + (ROW(H15)-ROW($C$4))*7)=0, "", INDIRECT("Sheet2!I" &amp; 9 + (ROW(H15)-ROW($C$4))*7))</f>
        <v/>
      </c>
      <c r="I15" s="19" t="str" cm="1">
        <f t="array" aca="1" ref="I15" ca="1">IF(INDIRECT("Sheet2!J" &amp; 9 + (ROW(I15)-ROW($C$4))*7)=0, "", INDIRECT("Sheet2!J" &amp; 9 + (ROW(I15)-ROW($C$4))*7))</f>
        <v/>
      </c>
      <c r="J15" s="19" t="str" cm="1">
        <f t="array" aca="1" ref="J15" ca="1">IF(INDIRECT("Sheet2!K" &amp; 9 + (ROW(J15)-ROW($C$4))*7)=0, "", INDIRECT("Sheet2!K" &amp; 9 + (ROW(J15)-ROW($C$4))*7))</f>
        <v/>
      </c>
      <c r="K15" s="19" t="str" cm="1">
        <f t="array" aca="1" ref="K15" ca="1">IF(INDIRECT("Sheet2!L" &amp; 9 + (ROW(K15)-ROW($C$4))*7)=0, "", INDIRECT("Sheet2!L" &amp; 9 + (ROW(K15)-ROW($C$4))*7))</f>
        <v/>
      </c>
      <c r="L15" s="19" t="str" cm="1">
        <f t="array" aca="1" ref="L15" ca="1">IF(INDIRECT("Sheet2!M" &amp; 9 + (ROW(L15)-ROW($C$4))*7)=0, "", INDIRECT("Sheet2!M" &amp; 9 + (ROW(L15)-ROW($C$4))*7))</f>
        <v/>
      </c>
      <c r="M15" s="19" t="str" cm="1">
        <f t="array" aca="1" ref="M15" ca="1">IF(INDIRECT("Sheet2!N" &amp; 9 + (ROW(M15)-ROW($C$4))*7)=0, "", INDIRECT("Sheet2!N" &amp; 9 + (ROW(M15)-ROW($C$4))*7))</f>
        <v/>
      </c>
      <c r="N15" s="19" t="str" cm="1">
        <f t="array" aca="1" ref="N15" ca="1">IF(INDIRECT("Sheet2!O" &amp; 9 + (ROW(O15)-ROW($C$4))*7)=0, "", INDIRECT("Sheet2!O" &amp; 9 + (ROW(O15)-ROW($C$4))*7))</f>
        <v/>
      </c>
      <c r="O15" s="19" t="str" cm="1">
        <f t="array" aca="1" ref="O15" ca="1">IF(INDIRECT("Sheet2!P" &amp; 9 + (ROW(P15)-ROW($C$4))*7)=0, "", INDIRECT("Sheet2!P" &amp; 9 + (ROW(P15)-ROW($C$4))*7))</f>
        <v/>
      </c>
    </row>
    <row r="16" spans="2:15" ht="18.75" x14ac:dyDescent="0.25">
      <c r="B16" s="1" t="s">
        <v>17</v>
      </c>
      <c r="C16" s="19" t="str" cm="1">
        <f t="array" aca="1" ref="C16" ca="1">IF(INDIRECT("Sheet2!D" &amp; 9 + (ROW(C16)-ROW($C$4))*7)=0, "", INDIRECT("Sheet2!D" &amp; 9 + (ROW(C16)-ROW($C$4))*7))</f>
        <v/>
      </c>
      <c r="D16" s="19" t="str" cm="1">
        <f t="array" aca="1" ref="D16" ca="1">IF(INDIRECT("Sheet2!E" &amp; 9 + (ROW(D16)-ROW($C$4))*7)=0, "", INDIRECT("Sheet2!E" &amp; 9 + (ROW(D16)-ROW($C$4))*7))</f>
        <v/>
      </c>
      <c r="E16" s="19" t="str" cm="1">
        <f t="array" aca="1" ref="E16" ca="1">IF(INDIRECT("Sheet2!F" &amp; 9 + (ROW(E16)-ROW($C$4))*7)=0, "", INDIRECT("Sheet2!F" &amp; 9 + (ROW(E16)-ROW($C$4))*7))</f>
        <v/>
      </c>
      <c r="F16" s="19" t="str" cm="1">
        <f t="array" aca="1" ref="F16" ca="1">IF(INDIRECT("Sheet2!G" &amp; 9 + (ROW(F16)-ROW($C$4))*7)=0, "", INDIRECT("Sheet2!G" &amp; 9 + (ROW(F16)-ROW($C$4))*7))</f>
        <v/>
      </c>
      <c r="G16" s="19" t="str" cm="1">
        <f t="array" aca="1" ref="G16" ca="1">IF(INDIRECT("Sheet2!H" &amp; 9 + (ROW(G16)-ROW($C$4))*7)=0, "", INDIRECT("Sheet2!H" &amp; 9 + (ROW(G16)-ROW($C$4))*7))</f>
        <v/>
      </c>
      <c r="H16" s="19" t="str" cm="1">
        <f t="array" aca="1" ref="H16" ca="1">IF(INDIRECT("Sheet2!I" &amp; 9 + (ROW(H16)-ROW($C$4))*7)=0, "", INDIRECT("Sheet2!I" &amp; 9 + (ROW(H16)-ROW($C$4))*7))</f>
        <v/>
      </c>
      <c r="I16" s="19" t="str" cm="1">
        <f t="array" aca="1" ref="I16" ca="1">IF(INDIRECT("Sheet2!J" &amp; 9 + (ROW(I16)-ROW($C$4))*7)=0, "", INDIRECT("Sheet2!J" &amp; 9 + (ROW(I16)-ROW($C$4))*7))</f>
        <v/>
      </c>
      <c r="J16" s="19" t="str" cm="1">
        <f t="array" aca="1" ref="J16" ca="1">IF(INDIRECT("Sheet2!K" &amp; 9 + (ROW(J16)-ROW($C$4))*7)=0, "", INDIRECT("Sheet2!K" &amp; 9 + (ROW(J16)-ROW($C$4))*7))</f>
        <v/>
      </c>
      <c r="K16" s="19" t="str" cm="1">
        <f t="array" aca="1" ref="K16" ca="1">IF(INDIRECT("Sheet2!L" &amp; 9 + (ROW(K16)-ROW($C$4))*7)=0, "", INDIRECT("Sheet2!L" &amp; 9 + (ROW(K16)-ROW($C$4))*7))</f>
        <v/>
      </c>
      <c r="L16" s="19" t="str" cm="1">
        <f t="array" aca="1" ref="L16" ca="1">IF(INDIRECT("Sheet2!M" &amp; 9 + (ROW(L16)-ROW($C$4))*7)=0, "", INDIRECT("Sheet2!M" &amp; 9 + (ROW(L16)-ROW($C$4))*7))</f>
        <v/>
      </c>
      <c r="M16" s="19" t="str" cm="1">
        <f t="array" aca="1" ref="M16" ca="1">IF(INDIRECT("Sheet2!N" &amp; 9 + (ROW(M16)-ROW($C$4))*7)=0, "", INDIRECT("Sheet2!N" &amp; 9 + (ROW(M16)-ROW($C$4))*7))</f>
        <v/>
      </c>
      <c r="N16" s="19" t="str" cm="1">
        <f t="array" aca="1" ref="N16" ca="1">IF(INDIRECT("Sheet2!O" &amp; 9 + (ROW(O16)-ROW($C$4))*7)=0, "", INDIRECT("Sheet2!O" &amp; 9 + (ROW(O16)-ROW($C$4))*7))</f>
        <v/>
      </c>
      <c r="O16" s="19" t="str" cm="1">
        <f t="array" aca="1" ref="O16" ca="1">IF(INDIRECT("Sheet2!P" &amp; 9 + (ROW(P16)-ROW($C$4))*7)=0, "", INDIRECT("Sheet2!P" &amp; 9 + (ROW(P16)-ROW($C$4))*7))</f>
        <v/>
      </c>
    </row>
    <row r="17" spans="2:15" ht="18.75" x14ac:dyDescent="0.25">
      <c r="B17" s="1" t="s">
        <v>18</v>
      </c>
      <c r="C17" s="19" t="str" cm="1">
        <f t="array" aca="1" ref="C17" ca="1">IF(INDIRECT("Sheet2!D" &amp; 9 + (ROW(C17)-ROW($C$4))*7)=0, "", INDIRECT("Sheet2!D" &amp; 9 + (ROW(C17)-ROW($C$4))*7))</f>
        <v/>
      </c>
      <c r="D17" s="19" t="str" cm="1">
        <f t="array" aca="1" ref="D17" ca="1">IF(INDIRECT("Sheet2!E" &amp; 9 + (ROW(D17)-ROW($C$4))*7)=0, "", INDIRECT("Sheet2!E" &amp; 9 + (ROW(D17)-ROW($C$4))*7))</f>
        <v/>
      </c>
      <c r="E17" s="19" t="str" cm="1">
        <f t="array" aca="1" ref="E17" ca="1">IF(INDIRECT("Sheet2!F" &amp; 9 + (ROW(E17)-ROW($C$4))*7)=0, "", INDIRECT("Sheet2!F" &amp; 9 + (ROW(E17)-ROW($C$4))*7))</f>
        <v/>
      </c>
      <c r="F17" s="19" t="str" cm="1">
        <f t="array" aca="1" ref="F17" ca="1">IF(INDIRECT("Sheet2!G" &amp; 9 + (ROW(F17)-ROW($C$4))*7)=0, "", INDIRECT("Sheet2!G" &amp; 9 + (ROW(F17)-ROW($C$4))*7))</f>
        <v/>
      </c>
      <c r="G17" s="19" t="str" cm="1">
        <f t="array" aca="1" ref="G17" ca="1">IF(INDIRECT("Sheet2!H" &amp; 9 + (ROW(G17)-ROW($C$4))*7)=0, "", INDIRECT("Sheet2!H" &amp; 9 + (ROW(G17)-ROW($C$4))*7))</f>
        <v/>
      </c>
      <c r="H17" s="19" t="str" cm="1">
        <f t="array" aca="1" ref="H17" ca="1">IF(INDIRECT("Sheet2!I" &amp; 9 + (ROW(H17)-ROW($C$4))*7)=0, "", INDIRECT("Sheet2!I" &amp; 9 + (ROW(H17)-ROW($C$4))*7))</f>
        <v/>
      </c>
      <c r="I17" s="19" t="str" cm="1">
        <f t="array" aca="1" ref="I17" ca="1">IF(INDIRECT("Sheet2!J" &amp; 9 + (ROW(I17)-ROW($C$4))*7)=0, "", INDIRECT("Sheet2!J" &amp; 9 + (ROW(I17)-ROW($C$4))*7))</f>
        <v/>
      </c>
      <c r="J17" s="19" t="str" cm="1">
        <f t="array" aca="1" ref="J17" ca="1">IF(INDIRECT("Sheet2!K" &amp; 9 + (ROW(J17)-ROW($C$4))*7)=0, "", INDIRECT("Sheet2!K" &amp; 9 + (ROW(J17)-ROW($C$4))*7))</f>
        <v/>
      </c>
      <c r="K17" s="19" t="str" cm="1">
        <f t="array" aca="1" ref="K17" ca="1">IF(INDIRECT("Sheet2!L" &amp; 9 + (ROW(K17)-ROW($C$4))*7)=0, "", INDIRECT("Sheet2!L" &amp; 9 + (ROW(K17)-ROW($C$4))*7))</f>
        <v/>
      </c>
      <c r="L17" s="19" t="str" cm="1">
        <f t="array" aca="1" ref="L17" ca="1">IF(INDIRECT("Sheet2!M" &amp; 9 + (ROW(L17)-ROW($C$4))*7)=0, "", INDIRECT("Sheet2!M" &amp; 9 + (ROW(L17)-ROW($C$4))*7))</f>
        <v/>
      </c>
      <c r="M17" s="19" t="str" cm="1">
        <f t="array" aca="1" ref="M17" ca="1">IF(INDIRECT("Sheet2!N" &amp; 9 + (ROW(M17)-ROW($C$4))*7)=0, "", INDIRECT("Sheet2!N" &amp; 9 + (ROW(M17)-ROW($C$4))*7))</f>
        <v/>
      </c>
      <c r="N17" s="19" t="str" cm="1">
        <f t="array" aca="1" ref="N17" ca="1">IF(INDIRECT("Sheet2!O" &amp; 9 + (ROW(O17)-ROW($C$4))*7)=0, "", INDIRECT("Sheet2!O" &amp; 9 + (ROW(O17)-ROW($C$4))*7))</f>
        <v/>
      </c>
      <c r="O17" s="19" t="str" cm="1">
        <f t="array" aca="1" ref="O17" ca="1">IF(INDIRECT("Sheet2!P" &amp; 9 + (ROW(P17)-ROW($C$4))*7)=0, "", INDIRECT("Sheet2!P" &amp; 9 + (ROW(P17)-ROW($C$4))*7))</f>
        <v/>
      </c>
    </row>
    <row r="18" spans="2:15" ht="18.75" x14ac:dyDescent="0.25">
      <c r="B18" s="1" t="s">
        <v>19</v>
      </c>
      <c r="C18" s="19" t="str" cm="1">
        <f t="array" aca="1" ref="C18" ca="1">IF(INDIRECT("Sheet2!D" &amp; 9 + (ROW(C18)-ROW($C$4))*7)=0, "", INDIRECT("Sheet2!D" &amp; 9 + (ROW(C18)-ROW($C$4))*7))</f>
        <v/>
      </c>
      <c r="D18" s="19" t="str" cm="1">
        <f t="array" aca="1" ref="D18" ca="1">IF(INDIRECT("Sheet2!E" &amp; 9 + (ROW(D18)-ROW($C$4))*7)=0, "", INDIRECT("Sheet2!E" &amp; 9 + (ROW(D18)-ROW($C$4))*7))</f>
        <v/>
      </c>
      <c r="E18" s="19" t="str" cm="1">
        <f t="array" aca="1" ref="E18" ca="1">IF(INDIRECT("Sheet2!F" &amp; 9 + (ROW(E18)-ROW($C$4))*7)=0, "", INDIRECT("Sheet2!F" &amp; 9 + (ROW(E18)-ROW($C$4))*7))</f>
        <v/>
      </c>
      <c r="F18" s="19" t="str" cm="1">
        <f t="array" aca="1" ref="F18" ca="1">IF(INDIRECT("Sheet2!G" &amp; 9 + (ROW(F18)-ROW($C$4))*7)=0, "", INDIRECT("Sheet2!G" &amp; 9 + (ROW(F18)-ROW($C$4))*7))</f>
        <v/>
      </c>
      <c r="G18" s="19" t="str" cm="1">
        <f t="array" aca="1" ref="G18" ca="1">IF(INDIRECT("Sheet2!H" &amp; 9 + (ROW(G18)-ROW($C$4))*7)=0, "", INDIRECT("Sheet2!H" &amp; 9 + (ROW(G18)-ROW($C$4))*7))</f>
        <v/>
      </c>
      <c r="H18" s="19" t="str" cm="1">
        <f t="array" aca="1" ref="H18" ca="1">IF(INDIRECT("Sheet2!I" &amp; 9 + (ROW(H18)-ROW($C$4))*7)=0, "", INDIRECT("Sheet2!I" &amp; 9 + (ROW(H18)-ROW($C$4))*7))</f>
        <v/>
      </c>
      <c r="I18" s="19" t="str" cm="1">
        <f t="array" aca="1" ref="I18" ca="1">IF(INDIRECT("Sheet2!J" &amp; 9 + (ROW(I18)-ROW($C$4))*7)=0, "", INDIRECT("Sheet2!J" &amp; 9 + (ROW(I18)-ROW($C$4))*7))</f>
        <v/>
      </c>
      <c r="J18" s="19" t="str" cm="1">
        <f t="array" aca="1" ref="J18" ca="1">IF(INDIRECT("Sheet2!K" &amp; 9 + (ROW(J18)-ROW($C$4))*7)=0, "", INDIRECT("Sheet2!K" &amp; 9 + (ROW(J18)-ROW($C$4))*7))</f>
        <v/>
      </c>
      <c r="K18" s="19" t="str" cm="1">
        <f t="array" aca="1" ref="K18" ca="1">IF(INDIRECT("Sheet2!L" &amp; 9 + (ROW(K18)-ROW($C$4))*7)=0, "", INDIRECT("Sheet2!L" &amp; 9 + (ROW(K18)-ROW($C$4))*7))</f>
        <v/>
      </c>
      <c r="L18" s="19" t="str" cm="1">
        <f t="array" aca="1" ref="L18" ca="1">IF(INDIRECT("Sheet2!M" &amp; 9 + (ROW(L18)-ROW($C$4))*7)=0, "", INDIRECT("Sheet2!M" &amp; 9 + (ROW(L18)-ROW($C$4))*7))</f>
        <v/>
      </c>
      <c r="M18" s="19" t="str" cm="1">
        <f t="array" aca="1" ref="M18" ca="1">IF(INDIRECT("Sheet2!N" &amp; 9 + (ROW(M18)-ROW($C$4))*7)=0, "", INDIRECT("Sheet2!N" &amp; 9 + (ROW(M18)-ROW($C$4))*7))</f>
        <v/>
      </c>
      <c r="N18" s="19" t="str" cm="1">
        <f t="array" aca="1" ref="N18" ca="1">IF(INDIRECT("Sheet2!O" &amp; 9 + (ROW(O18)-ROW($C$4))*7)=0, "", INDIRECT("Sheet2!O" &amp; 9 + (ROW(O18)-ROW($C$4))*7))</f>
        <v/>
      </c>
      <c r="O18" s="19" t="str" cm="1">
        <f t="array" aca="1" ref="O18" ca="1">IF(INDIRECT("Sheet2!P" &amp; 9 + (ROW(P18)-ROW($C$4))*7)=0, "", INDIRECT("Sheet2!P" &amp; 9 + (ROW(P18)-ROW($C$4))*7))</f>
        <v/>
      </c>
    </row>
    <row r="19" spans="2:15" ht="18.75" x14ac:dyDescent="0.25">
      <c r="B19" s="1" t="s">
        <v>20</v>
      </c>
      <c r="C19" s="19" t="str" cm="1">
        <f t="array" aca="1" ref="C19" ca="1">IF(INDIRECT("Sheet2!D" &amp; 9 + (ROW(C19)-ROW($C$4))*7)=0, "", INDIRECT("Sheet2!D" &amp; 9 + (ROW(C19)-ROW($C$4))*7))</f>
        <v/>
      </c>
      <c r="D19" s="19" t="str" cm="1">
        <f t="array" aca="1" ref="D19" ca="1">IF(INDIRECT("Sheet2!E" &amp; 9 + (ROW(D19)-ROW($C$4))*7)=0, "", INDIRECT("Sheet2!E" &amp; 9 + (ROW(D19)-ROW($C$4))*7))</f>
        <v/>
      </c>
      <c r="E19" s="19" t="str" cm="1">
        <f t="array" aca="1" ref="E19" ca="1">IF(INDIRECT("Sheet2!F" &amp; 9 + (ROW(E19)-ROW($C$4))*7)=0, "", INDIRECT("Sheet2!F" &amp; 9 + (ROW(E19)-ROW($C$4))*7))</f>
        <v/>
      </c>
      <c r="F19" s="19" t="str" cm="1">
        <f t="array" aca="1" ref="F19" ca="1">IF(INDIRECT("Sheet2!G" &amp; 9 + (ROW(F19)-ROW($C$4))*7)=0, "", INDIRECT("Sheet2!G" &amp; 9 + (ROW(F19)-ROW($C$4))*7))</f>
        <v/>
      </c>
      <c r="G19" s="19" t="str" cm="1">
        <f t="array" aca="1" ref="G19" ca="1">IF(INDIRECT("Sheet2!H" &amp; 9 + (ROW(G19)-ROW($C$4))*7)=0, "", INDIRECT("Sheet2!H" &amp; 9 + (ROW(G19)-ROW($C$4))*7))</f>
        <v/>
      </c>
      <c r="H19" s="19" t="str" cm="1">
        <f t="array" aca="1" ref="H19" ca="1">IF(INDIRECT("Sheet2!I" &amp; 9 + (ROW(H19)-ROW($C$4))*7)=0, "", INDIRECT("Sheet2!I" &amp; 9 + (ROW(H19)-ROW($C$4))*7))</f>
        <v/>
      </c>
      <c r="I19" s="19" t="str" cm="1">
        <f t="array" aca="1" ref="I19" ca="1">IF(INDIRECT("Sheet2!J" &amp; 9 + (ROW(I19)-ROW($C$4))*7)=0, "", INDIRECT("Sheet2!J" &amp; 9 + (ROW(I19)-ROW($C$4))*7))</f>
        <v/>
      </c>
      <c r="J19" s="19" t="str" cm="1">
        <f t="array" aca="1" ref="J19" ca="1">IF(INDIRECT("Sheet2!K" &amp; 9 + (ROW(J19)-ROW($C$4))*7)=0, "", INDIRECT("Sheet2!K" &amp; 9 + (ROW(J19)-ROW($C$4))*7))</f>
        <v/>
      </c>
      <c r="K19" s="19" t="str" cm="1">
        <f t="array" aca="1" ref="K19" ca="1">IF(INDIRECT("Sheet2!L" &amp; 9 + (ROW(K19)-ROW($C$4))*7)=0, "", INDIRECT("Sheet2!L" &amp; 9 + (ROW(K19)-ROW($C$4))*7))</f>
        <v/>
      </c>
      <c r="L19" s="19" t="str" cm="1">
        <f t="array" aca="1" ref="L19" ca="1">IF(INDIRECT("Sheet2!M" &amp; 9 + (ROW(L19)-ROW($C$4))*7)=0, "", INDIRECT("Sheet2!M" &amp; 9 + (ROW(L19)-ROW($C$4))*7))</f>
        <v/>
      </c>
      <c r="M19" s="19" t="str" cm="1">
        <f t="array" aca="1" ref="M19" ca="1">IF(INDIRECT("Sheet2!N" &amp; 9 + (ROW(M19)-ROW($C$4))*7)=0, "", INDIRECT("Sheet2!N" &amp; 9 + (ROW(M19)-ROW($C$4))*7))</f>
        <v/>
      </c>
      <c r="N19" s="19" t="str" cm="1">
        <f t="array" aca="1" ref="N19" ca="1">IF(INDIRECT("Sheet2!O" &amp; 9 + (ROW(O19)-ROW($C$4))*7)=0, "", INDIRECT("Sheet2!O" &amp; 9 + (ROW(O19)-ROW($C$4))*7))</f>
        <v/>
      </c>
      <c r="O19" s="19" t="str" cm="1">
        <f t="array" aca="1" ref="O19" ca="1">IF(INDIRECT("Sheet2!P" &amp; 9 + (ROW(P19)-ROW($C$4))*7)=0, "", INDIRECT("Sheet2!P" &amp; 9 + (ROW(P19)-ROW($C$4))*7))</f>
        <v/>
      </c>
    </row>
    <row r="20" spans="2:15" ht="18.75" x14ac:dyDescent="0.25">
      <c r="B20" s="1" t="s">
        <v>21</v>
      </c>
      <c r="C20" s="19" t="str" cm="1">
        <f t="array" aca="1" ref="C20" ca="1">IF(INDIRECT("Sheet2!D" &amp; 9 + (ROW(C20)-ROW($C$4))*7)=0, "", INDIRECT("Sheet2!D" &amp; 9 + (ROW(C20)-ROW($C$4))*7))</f>
        <v/>
      </c>
      <c r="D20" s="19" t="str" cm="1">
        <f t="array" aca="1" ref="D20" ca="1">IF(INDIRECT("Sheet2!E" &amp; 9 + (ROW(D20)-ROW($C$4))*7)=0, "", INDIRECT("Sheet2!E" &amp; 9 + (ROW(D20)-ROW($C$4))*7))</f>
        <v/>
      </c>
      <c r="E20" s="19" t="str" cm="1">
        <f t="array" aca="1" ref="E20" ca="1">IF(INDIRECT("Sheet2!F" &amp; 9 + (ROW(E20)-ROW($C$4))*7)=0, "", INDIRECT("Sheet2!F" &amp; 9 + (ROW(E20)-ROW($C$4))*7))</f>
        <v/>
      </c>
      <c r="F20" s="19" t="str" cm="1">
        <f t="array" aca="1" ref="F20" ca="1">IF(INDIRECT("Sheet2!G" &amp; 9 + (ROW(F20)-ROW($C$4))*7)=0, "", INDIRECT("Sheet2!G" &amp; 9 + (ROW(F20)-ROW($C$4))*7))</f>
        <v/>
      </c>
      <c r="G20" s="19" t="str" cm="1">
        <f t="array" aca="1" ref="G20" ca="1">IF(INDIRECT("Sheet2!H" &amp; 9 + (ROW(G20)-ROW($C$4))*7)=0, "", INDIRECT("Sheet2!H" &amp; 9 + (ROW(G20)-ROW($C$4))*7))</f>
        <v/>
      </c>
      <c r="H20" s="19" t="str" cm="1">
        <f t="array" aca="1" ref="H20" ca="1">IF(INDIRECT("Sheet2!I" &amp; 9 + (ROW(H20)-ROW($C$4))*7)=0, "", INDIRECT("Sheet2!I" &amp; 9 + (ROW(H20)-ROW($C$4))*7))</f>
        <v/>
      </c>
      <c r="I20" s="19" t="str" cm="1">
        <f t="array" aca="1" ref="I20" ca="1">IF(INDIRECT("Sheet2!J" &amp; 9 + (ROW(I20)-ROW($C$4))*7)=0, "", INDIRECT("Sheet2!J" &amp; 9 + (ROW(I20)-ROW($C$4))*7))</f>
        <v/>
      </c>
      <c r="J20" s="19" t="str" cm="1">
        <f t="array" aca="1" ref="J20" ca="1">IF(INDIRECT("Sheet2!K" &amp; 9 + (ROW(J20)-ROW($C$4))*7)=0, "", INDIRECT("Sheet2!K" &amp; 9 + (ROW(J20)-ROW($C$4))*7))</f>
        <v/>
      </c>
      <c r="K20" s="19" t="str" cm="1">
        <f t="array" aca="1" ref="K20" ca="1">IF(INDIRECT("Sheet2!L" &amp; 9 + (ROW(K20)-ROW($C$4))*7)=0, "", INDIRECT("Sheet2!L" &amp; 9 + (ROW(K20)-ROW($C$4))*7))</f>
        <v/>
      </c>
      <c r="L20" s="19" t="str" cm="1">
        <f t="array" aca="1" ref="L20" ca="1">IF(INDIRECT("Sheet2!M" &amp; 9 + (ROW(L20)-ROW($C$4))*7)=0, "", INDIRECT("Sheet2!M" &amp; 9 + (ROW(L20)-ROW($C$4))*7))</f>
        <v/>
      </c>
      <c r="M20" s="19" t="str" cm="1">
        <f t="array" aca="1" ref="M20" ca="1">IF(INDIRECT("Sheet2!N" &amp; 9 + (ROW(M20)-ROW($C$4))*7)=0, "", INDIRECT("Sheet2!N" &amp; 9 + (ROW(M20)-ROW($C$4))*7))</f>
        <v/>
      </c>
      <c r="N20" s="19" t="str" cm="1">
        <f t="array" aca="1" ref="N20" ca="1">IF(INDIRECT("Sheet2!O" &amp; 9 + (ROW(O20)-ROW($C$4))*7)=0, "", INDIRECT("Sheet2!O" &amp; 9 + (ROW(O20)-ROW($C$4))*7))</f>
        <v/>
      </c>
      <c r="O20" s="19" t="str" cm="1">
        <f t="array" aca="1" ref="O20" ca="1">IF(INDIRECT("Sheet2!P" &amp; 9 + (ROW(P20)-ROW($C$4))*7)=0, "", INDIRECT("Sheet2!P" &amp; 9 + (ROW(P20)-ROW($C$4))*7))</f>
        <v/>
      </c>
    </row>
    <row r="21" spans="2:15" ht="18.75" x14ac:dyDescent="0.25">
      <c r="B21" s="1" t="s">
        <v>22</v>
      </c>
      <c r="C21" s="19" t="str" cm="1">
        <f t="array" aca="1" ref="C21" ca="1">IF(INDIRECT("Sheet2!D" &amp; 9 + (ROW(C21)-ROW($C$4))*7)=0, "", INDIRECT("Sheet2!D" &amp; 9 + (ROW(C21)-ROW($C$4))*7))</f>
        <v/>
      </c>
      <c r="D21" s="19" t="str" cm="1">
        <f t="array" aca="1" ref="D21" ca="1">IF(INDIRECT("Sheet2!E" &amp; 9 + (ROW(D21)-ROW($C$4))*7)=0, "", INDIRECT("Sheet2!E" &amp; 9 + (ROW(D21)-ROW($C$4))*7))</f>
        <v/>
      </c>
      <c r="E21" s="19" t="str" cm="1">
        <f t="array" aca="1" ref="E21" ca="1">IF(INDIRECT("Sheet2!F" &amp; 9 + (ROW(E21)-ROW($C$4))*7)=0, "", INDIRECT("Sheet2!F" &amp; 9 + (ROW(E21)-ROW($C$4))*7))</f>
        <v/>
      </c>
      <c r="F21" s="19" t="str" cm="1">
        <f t="array" aca="1" ref="F21" ca="1">IF(INDIRECT("Sheet2!G" &amp; 9 + (ROW(F21)-ROW($C$4))*7)=0, "", INDIRECT("Sheet2!G" &amp; 9 + (ROW(F21)-ROW($C$4))*7))</f>
        <v/>
      </c>
      <c r="G21" s="19" t="str" cm="1">
        <f t="array" aca="1" ref="G21" ca="1">IF(INDIRECT("Sheet2!H" &amp; 9 + (ROW(G21)-ROW($C$4))*7)=0, "", INDIRECT("Sheet2!H" &amp; 9 + (ROW(G21)-ROW($C$4))*7))</f>
        <v/>
      </c>
      <c r="H21" s="19" t="str" cm="1">
        <f t="array" aca="1" ref="H21" ca="1">IF(INDIRECT("Sheet2!I" &amp; 9 + (ROW(H21)-ROW($C$4))*7)=0, "", INDIRECT("Sheet2!I" &amp; 9 + (ROW(H21)-ROW($C$4))*7))</f>
        <v/>
      </c>
      <c r="I21" s="19" t="str" cm="1">
        <f t="array" aca="1" ref="I21" ca="1">IF(INDIRECT("Sheet2!J" &amp; 9 + (ROW(I21)-ROW($C$4))*7)=0, "", INDIRECT("Sheet2!J" &amp; 9 + (ROW(I21)-ROW($C$4))*7))</f>
        <v/>
      </c>
      <c r="J21" s="19" t="str" cm="1">
        <f t="array" aca="1" ref="J21" ca="1">IF(INDIRECT("Sheet2!K" &amp; 9 + (ROW(J21)-ROW($C$4))*7)=0, "", INDIRECT("Sheet2!K" &amp; 9 + (ROW(J21)-ROW($C$4))*7))</f>
        <v/>
      </c>
      <c r="K21" s="19" t="str" cm="1">
        <f t="array" aca="1" ref="K21" ca="1">IF(INDIRECT("Sheet2!L" &amp; 9 + (ROW(K21)-ROW($C$4))*7)=0, "", INDIRECT("Sheet2!L" &amp; 9 + (ROW(K21)-ROW($C$4))*7))</f>
        <v/>
      </c>
      <c r="L21" s="19" t="str" cm="1">
        <f t="array" aca="1" ref="L21" ca="1">IF(INDIRECT("Sheet2!M" &amp; 9 + (ROW(L21)-ROW($C$4))*7)=0, "", INDIRECT("Sheet2!M" &amp; 9 + (ROW(L21)-ROW($C$4))*7))</f>
        <v/>
      </c>
      <c r="M21" s="19" t="str" cm="1">
        <f t="array" aca="1" ref="M21" ca="1">IF(INDIRECT("Sheet2!N" &amp; 9 + (ROW(M21)-ROW($C$4))*7)=0, "", INDIRECT("Sheet2!N" &amp; 9 + (ROW(M21)-ROW($C$4))*7))</f>
        <v/>
      </c>
      <c r="N21" s="19" t="str" cm="1">
        <f t="array" aca="1" ref="N21" ca="1">IF(INDIRECT("Sheet2!O" &amp; 9 + (ROW(O21)-ROW($C$4))*7)=0, "", INDIRECT("Sheet2!O" &amp; 9 + (ROW(O21)-ROW($C$4))*7))</f>
        <v/>
      </c>
      <c r="O21" s="19" t="str" cm="1">
        <f t="array" aca="1" ref="O21" ca="1">IF(INDIRECT("Sheet2!P" &amp; 9 + (ROW(P21)-ROW($C$4))*7)=0, "", INDIRECT("Sheet2!P" &amp; 9 + (ROW(P21)-ROW($C$4))*7))</f>
        <v/>
      </c>
    </row>
    <row r="22" spans="2:15" ht="18.75" x14ac:dyDescent="0.25">
      <c r="B22" s="1" t="s">
        <v>23</v>
      </c>
      <c r="C22" s="19" t="str" cm="1">
        <f t="array" aca="1" ref="C22" ca="1">IF(INDIRECT("Sheet2!D" &amp; 9 + (ROW(C22)-ROW($C$4))*7)=0, "", INDIRECT("Sheet2!D" &amp; 9 + (ROW(C22)-ROW($C$4))*7))</f>
        <v/>
      </c>
      <c r="D22" s="19" t="str" cm="1">
        <f t="array" aca="1" ref="D22" ca="1">IF(INDIRECT("Sheet2!E" &amp; 9 + (ROW(D22)-ROW($C$4))*7)=0, "", INDIRECT("Sheet2!E" &amp; 9 + (ROW(D22)-ROW($C$4))*7))</f>
        <v/>
      </c>
      <c r="E22" s="19" t="str" cm="1">
        <f t="array" aca="1" ref="E22" ca="1">IF(INDIRECT("Sheet2!F" &amp; 9 + (ROW(E22)-ROW($C$4))*7)=0, "", INDIRECT("Sheet2!F" &amp; 9 + (ROW(E22)-ROW($C$4))*7))</f>
        <v/>
      </c>
      <c r="F22" s="19" t="str" cm="1">
        <f t="array" aca="1" ref="F22" ca="1">IF(INDIRECT("Sheet2!G" &amp; 9 + (ROW(F22)-ROW($C$4))*7)=0, "", INDIRECT("Sheet2!G" &amp; 9 + (ROW(F22)-ROW($C$4))*7))</f>
        <v/>
      </c>
      <c r="G22" s="19" t="str" cm="1">
        <f t="array" aca="1" ref="G22" ca="1">IF(INDIRECT("Sheet2!H" &amp; 9 + (ROW(G22)-ROW($C$4))*7)=0, "", INDIRECT("Sheet2!H" &amp; 9 + (ROW(G22)-ROW($C$4))*7))</f>
        <v/>
      </c>
      <c r="H22" s="19" t="str" cm="1">
        <f t="array" aca="1" ref="H22" ca="1">IF(INDIRECT("Sheet2!I" &amp; 9 + (ROW(H22)-ROW($C$4))*7)=0, "", INDIRECT("Sheet2!I" &amp; 9 + (ROW(H22)-ROW($C$4))*7))</f>
        <v/>
      </c>
      <c r="I22" s="19" t="str" cm="1">
        <f t="array" aca="1" ref="I22" ca="1">IF(INDIRECT("Sheet2!J" &amp; 9 + (ROW(I22)-ROW($C$4))*7)=0, "", INDIRECT("Sheet2!J" &amp; 9 + (ROW(I22)-ROW($C$4))*7))</f>
        <v/>
      </c>
      <c r="J22" s="19" t="str" cm="1">
        <f t="array" aca="1" ref="J22" ca="1">IF(INDIRECT("Sheet2!K" &amp; 9 + (ROW(J22)-ROW($C$4))*7)=0, "", INDIRECT("Sheet2!K" &amp; 9 + (ROW(J22)-ROW($C$4))*7))</f>
        <v/>
      </c>
      <c r="K22" s="19" t="str" cm="1">
        <f t="array" aca="1" ref="K22" ca="1">IF(INDIRECT("Sheet2!L" &amp; 9 + (ROW(K22)-ROW($C$4))*7)=0, "", INDIRECT("Sheet2!L" &amp; 9 + (ROW(K22)-ROW($C$4))*7))</f>
        <v/>
      </c>
      <c r="L22" s="19" t="str" cm="1">
        <f t="array" aca="1" ref="L22" ca="1">IF(INDIRECT("Sheet2!M" &amp; 9 + (ROW(L22)-ROW($C$4))*7)=0, "", INDIRECT("Sheet2!M" &amp; 9 + (ROW(L22)-ROW($C$4))*7))</f>
        <v/>
      </c>
      <c r="M22" s="19" t="str" cm="1">
        <f t="array" aca="1" ref="M22" ca="1">IF(INDIRECT("Sheet2!N" &amp; 9 + (ROW(M22)-ROW($C$4))*7)=0, "", INDIRECT("Sheet2!N" &amp; 9 + (ROW(M22)-ROW($C$4))*7))</f>
        <v/>
      </c>
      <c r="N22" s="19" t="str" cm="1">
        <f t="array" aca="1" ref="N22" ca="1">IF(INDIRECT("Sheet2!O" &amp; 9 + (ROW(O22)-ROW($C$4))*7)=0, "", INDIRECT("Sheet2!O" &amp; 9 + (ROW(O22)-ROW($C$4))*7))</f>
        <v/>
      </c>
      <c r="O22" s="19" t="str" cm="1">
        <f t="array" aca="1" ref="O22" ca="1">IF(INDIRECT("Sheet2!P" &amp; 9 + (ROW(P22)-ROW($C$4))*7)=0, "", INDIRECT("Sheet2!P" &amp; 9 + (ROW(P22)-ROW($C$4))*7))</f>
        <v/>
      </c>
    </row>
    <row r="23" spans="2:15" ht="18.75" x14ac:dyDescent="0.25">
      <c r="B23" s="1" t="s">
        <v>24</v>
      </c>
      <c r="C23" s="19" t="str" cm="1">
        <f t="array" aca="1" ref="C23" ca="1">IF(INDIRECT("Sheet2!D" &amp; 9 + (ROW(C23)-ROW($C$4))*7)=0, "", INDIRECT("Sheet2!D" &amp; 9 + (ROW(C23)-ROW($C$4))*7))</f>
        <v/>
      </c>
      <c r="D23" s="19" t="str" cm="1">
        <f t="array" aca="1" ref="D23" ca="1">IF(INDIRECT("Sheet2!E" &amp; 9 + (ROW(D23)-ROW($C$4))*7)=0, "", INDIRECT("Sheet2!E" &amp; 9 + (ROW(D23)-ROW($C$4))*7))</f>
        <v/>
      </c>
      <c r="E23" s="19" t="str" cm="1">
        <f t="array" aca="1" ref="E23" ca="1">IF(INDIRECT("Sheet2!F" &amp; 9 + (ROW(E23)-ROW($C$4))*7)=0, "", INDIRECT("Sheet2!F" &amp; 9 + (ROW(E23)-ROW($C$4))*7))</f>
        <v/>
      </c>
      <c r="F23" s="19" t="str" cm="1">
        <f t="array" aca="1" ref="F23" ca="1">IF(INDIRECT("Sheet2!G" &amp; 9 + (ROW(F23)-ROW($C$4))*7)=0, "", INDIRECT("Sheet2!G" &amp; 9 + (ROW(F23)-ROW($C$4))*7))</f>
        <v/>
      </c>
      <c r="G23" s="19" t="str" cm="1">
        <f t="array" aca="1" ref="G23" ca="1">IF(INDIRECT("Sheet2!H" &amp; 9 + (ROW(G23)-ROW($C$4))*7)=0, "", INDIRECT("Sheet2!H" &amp; 9 + (ROW(G23)-ROW($C$4))*7))</f>
        <v/>
      </c>
      <c r="H23" s="19" t="str" cm="1">
        <f t="array" aca="1" ref="H23" ca="1">IF(INDIRECT("Sheet2!I" &amp; 9 + (ROW(H23)-ROW($C$4))*7)=0, "", INDIRECT("Sheet2!I" &amp; 9 + (ROW(H23)-ROW($C$4))*7))</f>
        <v/>
      </c>
      <c r="I23" s="19" t="str" cm="1">
        <f t="array" aca="1" ref="I23" ca="1">IF(INDIRECT("Sheet2!J" &amp; 9 + (ROW(I23)-ROW($C$4))*7)=0, "", INDIRECT("Sheet2!J" &amp; 9 + (ROW(I23)-ROW($C$4))*7))</f>
        <v/>
      </c>
      <c r="J23" s="19" t="str" cm="1">
        <f t="array" aca="1" ref="J23" ca="1">IF(INDIRECT("Sheet2!K" &amp; 9 + (ROW(J23)-ROW($C$4))*7)=0, "", INDIRECT("Sheet2!K" &amp; 9 + (ROW(J23)-ROW($C$4))*7))</f>
        <v/>
      </c>
      <c r="K23" s="19" t="str" cm="1">
        <f t="array" aca="1" ref="K23" ca="1">IF(INDIRECT("Sheet2!L" &amp; 9 + (ROW(K23)-ROW($C$4))*7)=0, "", INDIRECT("Sheet2!L" &amp; 9 + (ROW(K23)-ROW($C$4))*7))</f>
        <v/>
      </c>
      <c r="L23" s="19" t="str" cm="1">
        <f t="array" aca="1" ref="L23" ca="1">IF(INDIRECT("Sheet2!M" &amp; 9 + (ROW(L23)-ROW($C$4))*7)=0, "", INDIRECT("Sheet2!M" &amp; 9 + (ROW(L23)-ROW($C$4))*7))</f>
        <v/>
      </c>
      <c r="M23" s="19" t="str" cm="1">
        <f t="array" aca="1" ref="M23" ca="1">IF(INDIRECT("Sheet2!N" &amp; 9 + (ROW(M23)-ROW($C$4))*7)=0, "", INDIRECT("Sheet2!N" &amp; 9 + (ROW(M23)-ROW($C$4))*7))</f>
        <v/>
      </c>
      <c r="N23" s="19" t="str" cm="1">
        <f t="array" aca="1" ref="N23" ca="1">IF(INDIRECT("Sheet2!O" &amp; 9 + (ROW(O23)-ROW($C$4))*7)=0, "", INDIRECT("Sheet2!O" &amp; 9 + (ROW(O23)-ROW($C$4))*7))</f>
        <v/>
      </c>
      <c r="O23" s="19" t="str" cm="1">
        <f t="array" aca="1" ref="O23" ca="1">IF(INDIRECT("Sheet2!P" &amp; 9 + (ROW(P23)-ROW($C$4))*7)=0, "", INDIRECT("Sheet2!P" &amp; 9 + (ROW(P23)-ROW($C$4))*7))</f>
        <v/>
      </c>
    </row>
    <row r="24" spans="2:15" ht="18.75" x14ac:dyDescent="0.25">
      <c r="B24" s="1" t="s">
        <v>25</v>
      </c>
      <c r="C24" s="19" t="str" cm="1">
        <f t="array" aca="1" ref="C24" ca="1">IF(INDIRECT("Sheet2!D" &amp; 9 + (ROW(C24)-ROW($C$4))*7)=0, "", INDIRECT("Sheet2!D" &amp; 9 + (ROW(C24)-ROW($C$4))*7))</f>
        <v/>
      </c>
      <c r="D24" s="19" t="str" cm="1">
        <f t="array" aca="1" ref="D24" ca="1">IF(INDIRECT("Sheet2!E" &amp; 9 + (ROW(D24)-ROW($C$4))*7)=0, "", INDIRECT("Sheet2!E" &amp; 9 + (ROW(D24)-ROW($C$4))*7))</f>
        <v/>
      </c>
      <c r="E24" s="19" t="str" cm="1">
        <f t="array" aca="1" ref="E24" ca="1">IF(INDIRECT("Sheet2!F" &amp; 9 + (ROW(E24)-ROW($C$4))*7)=0, "", INDIRECT("Sheet2!F" &amp; 9 + (ROW(E24)-ROW($C$4))*7))</f>
        <v/>
      </c>
      <c r="F24" s="19" t="str" cm="1">
        <f t="array" aca="1" ref="F24" ca="1">IF(INDIRECT("Sheet2!G" &amp; 9 + (ROW(F24)-ROW($C$4))*7)=0, "", INDIRECT("Sheet2!G" &amp; 9 + (ROW(F24)-ROW($C$4))*7))</f>
        <v/>
      </c>
      <c r="G24" s="19" t="str" cm="1">
        <f t="array" aca="1" ref="G24" ca="1">IF(INDIRECT("Sheet2!H" &amp; 9 + (ROW(G24)-ROW($C$4))*7)=0, "", INDIRECT("Sheet2!H" &amp; 9 + (ROW(G24)-ROW($C$4))*7))</f>
        <v/>
      </c>
      <c r="H24" s="19" t="str" cm="1">
        <f t="array" aca="1" ref="H24" ca="1">IF(INDIRECT("Sheet2!I" &amp; 9 + (ROW(H24)-ROW($C$4))*7)=0, "", INDIRECT("Sheet2!I" &amp; 9 + (ROW(H24)-ROW($C$4))*7))</f>
        <v/>
      </c>
      <c r="I24" s="19" t="str" cm="1">
        <f t="array" aca="1" ref="I24" ca="1">IF(INDIRECT("Sheet2!J" &amp; 9 + (ROW(I24)-ROW($C$4))*7)=0, "", INDIRECT("Sheet2!J" &amp; 9 + (ROW(I24)-ROW($C$4))*7))</f>
        <v/>
      </c>
      <c r="J24" s="19" t="str" cm="1">
        <f t="array" aca="1" ref="J24" ca="1">IF(INDIRECT("Sheet2!K" &amp; 9 + (ROW(J24)-ROW($C$4))*7)=0, "", INDIRECT("Sheet2!K" &amp; 9 + (ROW(J24)-ROW($C$4))*7))</f>
        <v/>
      </c>
      <c r="K24" s="19" t="str" cm="1">
        <f t="array" aca="1" ref="K24" ca="1">IF(INDIRECT("Sheet2!L" &amp; 9 + (ROW(K24)-ROW($C$4))*7)=0, "", INDIRECT("Sheet2!L" &amp; 9 + (ROW(K24)-ROW($C$4))*7))</f>
        <v/>
      </c>
      <c r="L24" s="19" t="str" cm="1">
        <f t="array" aca="1" ref="L24" ca="1">IF(INDIRECT("Sheet2!M" &amp; 9 + (ROW(L24)-ROW($C$4))*7)=0, "", INDIRECT("Sheet2!M" &amp; 9 + (ROW(L24)-ROW($C$4))*7))</f>
        <v/>
      </c>
      <c r="M24" s="19" t="str" cm="1">
        <f t="array" aca="1" ref="M24" ca="1">IF(INDIRECT("Sheet2!N" &amp; 9 + (ROW(M24)-ROW($C$4))*7)=0, "", INDIRECT("Sheet2!N" &amp; 9 + (ROW(M24)-ROW($C$4))*7))</f>
        <v/>
      </c>
      <c r="N24" s="19" t="str" cm="1">
        <f t="array" aca="1" ref="N24" ca="1">IF(INDIRECT("Sheet2!O" &amp; 9 + (ROW(O24)-ROW($C$4))*7)=0, "", INDIRECT("Sheet2!O" &amp; 9 + (ROW(O24)-ROW($C$4))*7))</f>
        <v/>
      </c>
      <c r="O24" s="19" t="str" cm="1">
        <f t="array" aca="1" ref="O24" ca="1">IF(INDIRECT("Sheet2!P" &amp; 9 + (ROW(P24)-ROW($C$4))*7)=0, "", INDIRECT("Sheet2!P" &amp; 9 + (ROW(P24)-ROW($C$4))*7))</f>
        <v/>
      </c>
    </row>
    <row r="25" spans="2:15" ht="18.75" x14ac:dyDescent="0.25">
      <c r="B25" s="1" t="s">
        <v>26</v>
      </c>
      <c r="C25" s="19" t="str" cm="1">
        <f t="array" aca="1" ref="C25" ca="1">IF(INDIRECT("Sheet2!D" &amp; 9 + (ROW(C25)-ROW($C$4))*7)=0, "", INDIRECT("Sheet2!D" &amp; 9 + (ROW(C25)-ROW($C$4))*7))</f>
        <v/>
      </c>
      <c r="D25" s="19" t="str" cm="1">
        <f t="array" aca="1" ref="D25" ca="1">IF(INDIRECT("Sheet2!E" &amp; 9 + (ROW(D25)-ROW($C$4))*7)=0, "", INDIRECT("Sheet2!E" &amp; 9 + (ROW(D25)-ROW($C$4))*7))</f>
        <v/>
      </c>
      <c r="E25" s="19" t="str" cm="1">
        <f t="array" aca="1" ref="E25" ca="1">IF(INDIRECT("Sheet2!F" &amp; 9 + (ROW(E25)-ROW($C$4))*7)=0, "", INDIRECT("Sheet2!F" &amp; 9 + (ROW(E25)-ROW($C$4))*7))</f>
        <v/>
      </c>
      <c r="F25" s="19" t="str" cm="1">
        <f t="array" aca="1" ref="F25" ca="1">IF(INDIRECT("Sheet2!G" &amp; 9 + (ROW(F25)-ROW($C$4))*7)=0, "", INDIRECT("Sheet2!G" &amp; 9 + (ROW(F25)-ROW($C$4))*7))</f>
        <v/>
      </c>
      <c r="G25" s="19" t="str" cm="1">
        <f t="array" aca="1" ref="G25" ca="1">IF(INDIRECT("Sheet2!H" &amp; 9 + (ROW(G25)-ROW($C$4))*7)=0, "", INDIRECT("Sheet2!H" &amp; 9 + (ROW(G25)-ROW($C$4))*7))</f>
        <v/>
      </c>
      <c r="H25" s="19" t="str" cm="1">
        <f t="array" aca="1" ref="H25" ca="1">IF(INDIRECT("Sheet2!I" &amp; 9 + (ROW(H25)-ROW($C$4))*7)=0, "", INDIRECT("Sheet2!I" &amp; 9 + (ROW(H25)-ROW($C$4))*7))</f>
        <v/>
      </c>
      <c r="I25" s="19" t="str" cm="1">
        <f t="array" aca="1" ref="I25" ca="1">IF(INDIRECT("Sheet2!J" &amp; 9 + (ROW(I25)-ROW($C$4))*7)=0, "", INDIRECT("Sheet2!J" &amp; 9 + (ROW(I25)-ROW($C$4))*7))</f>
        <v/>
      </c>
      <c r="J25" s="19" t="str" cm="1">
        <f t="array" aca="1" ref="J25" ca="1">IF(INDIRECT("Sheet2!K" &amp; 9 + (ROW(J25)-ROW($C$4))*7)=0, "", INDIRECT("Sheet2!K" &amp; 9 + (ROW(J25)-ROW($C$4))*7))</f>
        <v/>
      </c>
      <c r="K25" s="19" t="str" cm="1">
        <f t="array" aca="1" ref="K25" ca="1">IF(INDIRECT("Sheet2!L" &amp; 9 + (ROW(K25)-ROW($C$4))*7)=0, "", INDIRECT("Sheet2!L" &amp; 9 + (ROW(K25)-ROW($C$4))*7))</f>
        <v/>
      </c>
      <c r="L25" s="19" t="str" cm="1">
        <f t="array" aca="1" ref="L25" ca="1">IF(INDIRECT("Sheet2!M" &amp; 9 + (ROW(L25)-ROW($C$4))*7)=0, "", INDIRECT("Sheet2!M" &amp; 9 + (ROW(L25)-ROW($C$4))*7))</f>
        <v/>
      </c>
      <c r="M25" s="19" t="str" cm="1">
        <f t="array" aca="1" ref="M25" ca="1">IF(INDIRECT("Sheet2!N" &amp; 9 + (ROW(M25)-ROW($C$4))*7)=0, "", INDIRECT("Sheet2!N" &amp; 9 + (ROW(M25)-ROW($C$4))*7))</f>
        <v/>
      </c>
      <c r="N25" s="19" t="str" cm="1">
        <f t="array" aca="1" ref="N25" ca="1">IF(INDIRECT("Sheet2!O" &amp; 9 + (ROW(O25)-ROW($C$4))*7)=0, "", INDIRECT("Sheet2!O" &amp; 9 + (ROW(O25)-ROW($C$4))*7))</f>
        <v/>
      </c>
      <c r="O25" s="19" t="str" cm="1">
        <f t="array" aca="1" ref="O25" ca="1">IF(INDIRECT("Sheet2!P" &amp; 9 + (ROW(P25)-ROW($C$4))*7)=0, "", INDIRECT("Sheet2!P" &amp; 9 + (ROW(P25)-ROW($C$4))*7))</f>
        <v/>
      </c>
    </row>
    <row r="26" spans="2:15" ht="18.75" x14ac:dyDescent="0.25">
      <c r="B26" s="1" t="s">
        <v>27</v>
      </c>
      <c r="C26" s="19" t="str" cm="1">
        <f t="array" aca="1" ref="C26" ca="1">IF(INDIRECT("Sheet2!D" &amp; 9 + (ROW(C26)-ROW($C$4))*7)=0, "", INDIRECT("Sheet2!D" &amp; 9 + (ROW(C26)-ROW($C$4))*7))</f>
        <v/>
      </c>
      <c r="D26" s="19" t="str" cm="1">
        <f t="array" aca="1" ref="D26" ca="1">IF(INDIRECT("Sheet2!E" &amp; 9 + (ROW(D26)-ROW($C$4))*7)=0, "", INDIRECT("Sheet2!E" &amp; 9 + (ROW(D26)-ROW($C$4))*7))</f>
        <v/>
      </c>
      <c r="E26" s="19" t="str" cm="1">
        <f t="array" aca="1" ref="E26" ca="1">IF(INDIRECT("Sheet2!F" &amp; 9 + (ROW(E26)-ROW($C$4))*7)=0, "", INDIRECT("Sheet2!F" &amp; 9 + (ROW(E26)-ROW($C$4))*7))</f>
        <v/>
      </c>
      <c r="F26" s="19" t="str" cm="1">
        <f t="array" aca="1" ref="F26" ca="1">IF(INDIRECT("Sheet2!G" &amp; 9 + (ROW(F26)-ROW($C$4))*7)=0, "", INDIRECT("Sheet2!G" &amp; 9 + (ROW(F26)-ROW($C$4))*7))</f>
        <v/>
      </c>
      <c r="G26" s="19" t="str" cm="1">
        <f t="array" aca="1" ref="G26" ca="1">IF(INDIRECT("Sheet2!H" &amp; 9 + (ROW(G26)-ROW($C$4))*7)=0, "", INDIRECT("Sheet2!H" &amp; 9 + (ROW(G26)-ROW($C$4))*7))</f>
        <v/>
      </c>
      <c r="H26" s="19" t="str" cm="1">
        <f t="array" aca="1" ref="H26" ca="1">IF(INDIRECT("Sheet2!I" &amp; 9 + (ROW(H26)-ROW($C$4))*7)=0, "", INDIRECT("Sheet2!I" &amp; 9 + (ROW(H26)-ROW($C$4))*7))</f>
        <v/>
      </c>
      <c r="I26" s="19" t="str" cm="1">
        <f t="array" aca="1" ref="I26" ca="1">IF(INDIRECT("Sheet2!J" &amp; 9 + (ROW(I26)-ROW($C$4))*7)=0, "", INDIRECT("Sheet2!J" &amp; 9 + (ROW(I26)-ROW($C$4))*7))</f>
        <v/>
      </c>
      <c r="J26" s="19" t="str" cm="1">
        <f t="array" aca="1" ref="J26" ca="1">IF(INDIRECT("Sheet2!K" &amp; 9 + (ROW(J26)-ROW($C$4))*7)=0, "", INDIRECT("Sheet2!K" &amp; 9 + (ROW(J26)-ROW($C$4))*7))</f>
        <v/>
      </c>
      <c r="K26" s="19" t="str" cm="1">
        <f t="array" aca="1" ref="K26" ca="1">IF(INDIRECT("Sheet2!L" &amp; 9 + (ROW(K26)-ROW($C$4))*7)=0, "", INDIRECT("Sheet2!L" &amp; 9 + (ROW(K26)-ROW($C$4))*7))</f>
        <v/>
      </c>
      <c r="L26" s="19" t="str" cm="1">
        <f t="array" aca="1" ref="L26" ca="1">IF(INDIRECT("Sheet2!M" &amp; 9 + (ROW(L26)-ROW($C$4))*7)=0, "", INDIRECT("Sheet2!M" &amp; 9 + (ROW(L26)-ROW($C$4))*7))</f>
        <v/>
      </c>
      <c r="M26" s="19" t="str" cm="1">
        <f t="array" aca="1" ref="M26" ca="1">IF(INDIRECT("Sheet2!N" &amp; 9 + (ROW(M26)-ROW($C$4))*7)=0, "", INDIRECT("Sheet2!N" &amp; 9 + (ROW(M26)-ROW($C$4))*7))</f>
        <v/>
      </c>
      <c r="N26" s="19" t="str" cm="1">
        <f t="array" aca="1" ref="N26" ca="1">IF(INDIRECT("Sheet2!O" &amp; 9 + (ROW(O26)-ROW($C$4))*7)=0, "", INDIRECT("Sheet2!O" &amp; 9 + (ROW(O26)-ROW($C$4))*7))</f>
        <v/>
      </c>
      <c r="O26" s="19" t="str" cm="1">
        <f t="array" aca="1" ref="O26" ca="1">IF(INDIRECT("Sheet2!P" &amp; 9 + (ROW(P26)-ROW($C$4))*7)=0, "", INDIRECT("Sheet2!P" &amp; 9 + (ROW(P26)-ROW($C$4))*7))</f>
        <v/>
      </c>
    </row>
    <row r="27" spans="2:15" ht="18.75" x14ac:dyDescent="0.25">
      <c r="B27" s="1" t="s">
        <v>28</v>
      </c>
      <c r="C27" s="19" t="str" cm="1">
        <f t="array" aca="1" ref="C27" ca="1">IF(INDIRECT("Sheet2!D" &amp; 9 + (ROW(C27)-ROW($C$4))*7)=0, "", INDIRECT("Sheet2!D" &amp; 9 + (ROW(C27)-ROW($C$4))*7))</f>
        <v/>
      </c>
      <c r="D27" s="19" t="str" cm="1">
        <f t="array" aca="1" ref="D27" ca="1">IF(INDIRECT("Sheet2!E" &amp; 9 + (ROW(D27)-ROW($C$4))*7)=0, "", INDIRECT("Sheet2!E" &amp; 9 + (ROW(D27)-ROW($C$4))*7))</f>
        <v/>
      </c>
      <c r="E27" s="19" t="str" cm="1">
        <f t="array" aca="1" ref="E27" ca="1">IF(INDIRECT("Sheet2!F" &amp; 9 + (ROW(E27)-ROW($C$4))*7)=0, "", INDIRECT("Sheet2!F" &amp; 9 + (ROW(E27)-ROW($C$4))*7))</f>
        <v/>
      </c>
      <c r="F27" s="19" t="str" cm="1">
        <f t="array" aca="1" ref="F27" ca="1">IF(INDIRECT("Sheet2!G" &amp; 9 + (ROW(F27)-ROW($C$4))*7)=0, "", INDIRECT("Sheet2!G" &amp; 9 + (ROW(F27)-ROW($C$4))*7))</f>
        <v/>
      </c>
      <c r="G27" s="19" t="str" cm="1">
        <f t="array" aca="1" ref="G27" ca="1">IF(INDIRECT("Sheet2!H" &amp; 9 + (ROW(G27)-ROW($C$4))*7)=0, "", INDIRECT("Sheet2!H" &amp; 9 + (ROW(G27)-ROW($C$4))*7))</f>
        <v/>
      </c>
      <c r="H27" s="19" t="str" cm="1">
        <f t="array" aca="1" ref="H27" ca="1">IF(INDIRECT("Sheet2!I" &amp; 9 + (ROW(H27)-ROW($C$4))*7)=0, "", INDIRECT("Sheet2!I" &amp; 9 + (ROW(H27)-ROW($C$4))*7))</f>
        <v/>
      </c>
      <c r="I27" s="19" t="str" cm="1">
        <f t="array" aca="1" ref="I27" ca="1">IF(INDIRECT("Sheet2!J" &amp; 9 + (ROW(I27)-ROW($C$4))*7)=0, "", INDIRECT("Sheet2!J" &amp; 9 + (ROW(I27)-ROW($C$4))*7))</f>
        <v/>
      </c>
      <c r="J27" s="19" t="str" cm="1">
        <f t="array" aca="1" ref="J27" ca="1">IF(INDIRECT("Sheet2!K" &amp; 9 + (ROW(J27)-ROW($C$4))*7)=0, "", INDIRECT("Sheet2!K" &amp; 9 + (ROW(J27)-ROW($C$4))*7))</f>
        <v/>
      </c>
      <c r="K27" s="19" t="str" cm="1">
        <f t="array" aca="1" ref="K27" ca="1">IF(INDIRECT("Sheet2!L" &amp; 9 + (ROW(K27)-ROW($C$4))*7)=0, "", INDIRECT("Sheet2!L" &amp; 9 + (ROW(K27)-ROW($C$4))*7))</f>
        <v/>
      </c>
      <c r="L27" s="19" t="str" cm="1">
        <f t="array" aca="1" ref="L27" ca="1">IF(INDIRECT("Sheet2!M" &amp; 9 + (ROW(L27)-ROW($C$4))*7)=0, "", INDIRECT("Sheet2!M" &amp; 9 + (ROW(L27)-ROW($C$4))*7))</f>
        <v/>
      </c>
      <c r="M27" s="19" t="str" cm="1">
        <f t="array" aca="1" ref="M27" ca="1">IF(INDIRECT("Sheet2!N" &amp; 9 + (ROW(M27)-ROW($C$4))*7)=0, "", INDIRECT("Sheet2!N" &amp; 9 + (ROW(M27)-ROW($C$4))*7))</f>
        <v/>
      </c>
      <c r="N27" s="19" t="str" cm="1">
        <f t="array" aca="1" ref="N27" ca="1">IF(INDIRECT("Sheet2!O" &amp; 9 + (ROW(O27)-ROW($C$4))*7)=0, "", INDIRECT("Sheet2!O" &amp; 9 + (ROW(O27)-ROW($C$4))*7))</f>
        <v/>
      </c>
      <c r="O27" s="19" t="str" cm="1">
        <f t="array" aca="1" ref="O27" ca="1">IF(INDIRECT("Sheet2!P" &amp; 9 + (ROW(P27)-ROW($C$4))*7)=0, "", INDIRECT("Sheet2!P" &amp; 9 + (ROW(P27)-ROW($C$4))*7))</f>
        <v/>
      </c>
    </row>
    <row r="28" spans="2:15" ht="18.75" x14ac:dyDescent="0.25">
      <c r="B28" s="1" t="s">
        <v>29</v>
      </c>
      <c r="C28" s="19" t="str" cm="1">
        <f t="array" aca="1" ref="C28" ca="1">IF(INDIRECT("Sheet2!D" &amp; 9 + (ROW(C28)-ROW($C$4))*7)=0, "", INDIRECT("Sheet2!D" &amp; 9 + (ROW(C28)-ROW($C$4))*7))</f>
        <v/>
      </c>
      <c r="D28" s="19" t="str" cm="1">
        <f t="array" aca="1" ref="D28" ca="1">IF(INDIRECT("Sheet2!E" &amp; 9 + (ROW(D28)-ROW($C$4))*7)=0, "", INDIRECT("Sheet2!E" &amp; 9 + (ROW(D28)-ROW($C$4))*7))</f>
        <v/>
      </c>
      <c r="E28" s="19" t="str" cm="1">
        <f t="array" aca="1" ref="E28" ca="1">IF(INDIRECT("Sheet2!F" &amp; 9 + (ROW(E28)-ROW($C$4))*7)=0, "", INDIRECT("Sheet2!F" &amp; 9 + (ROW(E28)-ROW($C$4))*7))</f>
        <v/>
      </c>
      <c r="F28" s="19" t="str" cm="1">
        <f t="array" aca="1" ref="F28" ca="1">IF(INDIRECT("Sheet2!G" &amp; 9 + (ROW(F28)-ROW($C$4))*7)=0, "", INDIRECT("Sheet2!G" &amp; 9 + (ROW(F28)-ROW($C$4))*7))</f>
        <v/>
      </c>
      <c r="G28" s="19" t="str" cm="1">
        <f t="array" aca="1" ref="G28" ca="1">IF(INDIRECT("Sheet2!H" &amp; 9 + (ROW(G28)-ROW($C$4))*7)=0, "", INDIRECT("Sheet2!H" &amp; 9 + (ROW(G28)-ROW($C$4))*7))</f>
        <v/>
      </c>
      <c r="H28" s="19" t="str" cm="1">
        <f t="array" aca="1" ref="H28" ca="1">IF(INDIRECT("Sheet2!I" &amp; 9 + (ROW(H28)-ROW($C$4))*7)=0, "", INDIRECT("Sheet2!I" &amp; 9 + (ROW(H28)-ROW($C$4))*7))</f>
        <v/>
      </c>
      <c r="I28" s="19" t="str" cm="1">
        <f t="array" aca="1" ref="I28" ca="1">IF(INDIRECT("Sheet2!J" &amp; 9 + (ROW(I28)-ROW($C$4))*7)=0, "", INDIRECT("Sheet2!J" &amp; 9 + (ROW(I28)-ROW($C$4))*7))</f>
        <v/>
      </c>
      <c r="J28" s="19" t="str" cm="1">
        <f t="array" aca="1" ref="J28" ca="1">IF(INDIRECT("Sheet2!K" &amp; 9 + (ROW(J28)-ROW($C$4))*7)=0, "", INDIRECT("Sheet2!K" &amp; 9 + (ROW(J28)-ROW($C$4))*7))</f>
        <v/>
      </c>
      <c r="K28" s="19" t="str" cm="1">
        <f t="array" aca="1" ref="K28" ca="1">IF(INDIRECT("Sheet2!L" &amp; 9 + (ROW(K28)-ROW($C$4))*7)=0, "", INDIRECT("Sheet2!L" &amp; 9 + (ROW(K28)-ROW($C$4))*7))</f>
        <v/>
      </c>
      <c r="L28" s="19" t="str" cm="1">
        <f t="array" aca="1" ref="L28" ca="1">IF(INDIRECT("Sheet2!M" &amp; 9 + (ROW(L28)-ROW($C$4))*7)=0, "", INDIRECT("Sheet2!M" &amp; 9 + (ROW(L28)-ROW($C$4))*7))</f>
        <v/>
      </c>
      <c r="M28" s="19" t="str" cm="1">
        <f t="array" aca="1" ref="M28" ca="1">IF(INDIRECT("Sheet2!N" &amp; 9 + (ROW(M28)-ROW($C$4))*7)=0, "", INDIRECT("Sheet2!N" &amp; 9 + (ROW(M28)-ROW($C$4))*7))</f>
        <v/>
      </c>
      <c r="N28" s="19" t="str" cm="1">
        <f t="array" aca="1" ref="N28" ca="1">IF(INDIRECT("Sheet2!O" &amp; 9 + (ROW(O28)-ROW($C$4))*7)=0, "", INDIRECT("Sheet2!O" &amp; 9 + (ROW(O28)-ROW($C$4))*7))</f>
        <v/>
      </c>
      <c r="O28" s="19" t="str" cm="1">
        <f t="array" aca="1" ref="O28" ca="1">IF(INDIRECT("Sheet2!P" &amp; 9 + (ROW(P28)-ROW($C$4))*7)=0, "", INDIRECT("Sheet2!P" &amp; 9 + (ROW(P28)-ROW($C$4))*7))</f>
        <v/>
      </c>
    </row>
    <row r="29" spans="2:15" ht="18.75" x14ac:dyDescent="0.25">
      <c r="B29" s="1" t="s">
        <v>30</v>
      </c>
      <c r="C29" s="19" t="str" cm="1">
        <f t="array" aca="1" ref="C29" ca="1">IF(INDIRECT("Sheet2!D" &amp; 9 + (ROW(C29)-ROW($C$4))*7)=0, "", INDIRECT("Sheet2!D" &amp; 9 + (ROW(C29)-ROW($C$4))*7))</f>
        <v/>
      </c>
      <c r="D29" s="19" t="str" cm="1">
        <f t="array" aca="1" ref="D29" ca="1">IF(INDIRECT("Sheet2!E" &amp; 9 + (ROW(D29)-ROW($C$4))*7)=0, "", INDIRECT("Sheet2!E" &amp; 9 + (ROW(D29)-ROW($C$4))*7))</f>
        <v/>
      </c>
      <c r="E29" s="19" t="str" cm="1">
        <f t="array" aca="1" ref="E29" ca="1">IF(INDIRECT("Sheet2!F" &amp; 9 + (ROW(E29)-ROW($C$4))*7)=0, "", INDIRECT("Sheet2!F" &amp; 9 + (ROW(E29)-ROW($C$4))*7))</f>
        <v/>
      </c>
      <c r="F29" s="19" t="str" cm="1">
        <f t="array" aca="1" ref="F29" ca="1">IF(INDIRECT("Sheet2!G" &amp; 9 + (ROW(F29)-ROW($C$4))*7)=0, "", INDIRECT("Sheet2!G" &amp; 9 + (ROW(F29)-ROW($C$4))*7))</f>
        <v/>
      </c>
      <c r="G29" s="19" t="str" cm="1">
        <f t="array" aca="1" ref="G29" ca="1">IF(INDIRECT("Sheet2!H" &amp; 9 + (ROW(G29)-ROW($C$4))*7)=0, "", INDIRECT("Sheet2!H" &amp; 9 + (ROW(G29)-ROW($C$4))*7))</f>
        <v/>
      </c>
      <c r="H29" s="19" t="str" cm="1">
        <f t="array" aca="1" ref="H29" ca="1">IF(INDIRECT("Sheet2!I" &amp; 9 + (ROW(H29)-ROW($C$4))*7)=0, "", INDIRECT("Sheet2!I" &amp; 9 + (ROW(H29)-ROW($C$4))*7))</f>
        <v/>
      </c>
      <c r="I29" s="19" t="str" cm="1">
        <f t="array" aca="1" ref="I29" ca="1">IF(INDIRECT("Sheet2!J" &amp; 9 + (ROW(I29)-ROW($C$4))*7)=0, "", INDIRECT("Sheet2!J" &amp; 9 + (ROW(I29)-ROW($C$4))*7))</f>
        <v/>
      </c>
      <c r="J29" s="19" t="str" cm="1">
        <f t="array" aca="1" ref="J29" ca="1">IF(INDIRECT("Sheet2!K" &amp; 9 + (ROW(J29)-ROW($C$4))*7)=0, "", INDIRECT("Sheet2!K" &amp; 9 + (ROW(J29)-ROW($C$4))*7))</f>
        <v/>
      </c>
      <c r="K29" s="19" t="str" cm="1">
        <f t="array" aca="1" ref="K29" ca="1">IF(INDIRECT("Sheet2!L" &amp; 9 + (ROW(K29)-ROW($C$4))*7)=0, "", INDIRECT("Sheet2!L" &amp; 9 + (ROW(K29)-ROW($C$4))*7))</f>
        <v/>
      </c>
      <c r="L29" s="19" t="str" cm="1">
        <f t="array" aca="1" ref="L29" ca="1">IF(INDIRECT("Sheet2!M" &amp; 9 + (ROW(L29)-ROW($C$4))*7)=0, "", INDIRECT("Sheet2!M" &amp; 9 + (ROW(L29)-ROW($C$4))*7))</f>
        <v/>
      </c>
      <c r="M29" s="19" t="str" cm="1">
        <f t="array" aca="1" ref="M29" ca="1">IF(INDIRECT("Sheet2!N" &amp; 9 + (ROW(M29)-ROW($C$4))*7)=0, "", INDIRECT("Sheet2!N" &amp; 9 + (ROW(M29)-ROW($C$4))*7))</f>
        <v/>
      </c>
      <c r="N29" s="19" t="str" cm="1">
        <f t="array" aca="1" ref="N29" ca="1">IF(INDIRECT("Sheet2!O" &amp; 9 + (ROW(O29)-ROW($C$4))*7)=0, "", INDIRECT("Sheet2!O" &amp; 9 + (ROW(O29)-ROW($C$4))*7))</f>
        <v/>
      </c>
      <c r="O29" s="19" t="str" cm="1">
        <f t="array" aca="1" ref="O29" ca="1">IF(INDIRECT("Sheet2!P" &amp; 9 + (ROW(P29)-ROW($C$4))*7)=0, "", INDIRECT("Sheet2!P" &amp; 9 + (ROW(P29)-ROW($C$4))*7))</f>
        <v/>
      </c>
    </row>
    <row r="30" spans="2:15" ht="18.75" x14ac:dyDescent="0.25">
      <c r="B30" s="1" t="s">
        <v>31</v>
      </c>
      <c r="C30" s="19" t="str" cm="1">
        <f t="array" aca="1" ref="C30" ca="1">IF(INDIRECT("Sheet2!D" &amp; 9 + (ROW(C30)-ROW($C$4))*7)=0, "", INDIRECT("Sheet2!D" &amp; 9 + (ROW(C30)-ROW($C$4))*7))</f>
        <v/>
      </c>
      <c r="D30" s="19" t="str" cm="1">
        <f t="array" aca="1" ref="D30" ca="1">IF(INDIRECT("Sheet2!E" &amp; 9 + (ROW(D30)-ROW($C$4))*7)=0, "", INDIRECT("Sheet2!E" &amp; 9 + (ROW(D30)-ROW($C$4))*7))</f>
        <v/>
      </c>
      <c r="E30" s="19" t="str" cm="1">
        <f t="array" aca="1" ref="E30" ca="1">IF(INDIRECT("Sheet2!F" &amp; 9 + (ROW(E30)-ROW($C$4))*7)=0, "", INDIRECT("Sheet2!F" &amp; 9 + (ROW(E30)-ROW($C$4))*7))</f>
        <v/>
      </c>
      <c r="F30" s="19" t="str" cm="1">
        <f t="array" aca="1" ref="F30" ca="1">IF(INDIRECT("Sheet2!G" &amp; 9 + (ROW(F30)-ROW($C$4))*7)=0, "", INDIRECT("Sheet2!G" &amp; 9 + (ROW(F30)-ROW($C$4))*7))</f>
        <v/>
      </c>
      <c r="G30" s="19" t="str" cm="1">
        <f t="array" aca="1" ref="G30" ca="1">IF(INDIRECT("Sheet2!H" &amp; 9 + (ROW(G30)-ROW($C$4))*7)=0, "", INDIRECT("Sheet2!H" &amp; 9 + (ROW(G30)-ROW($C$4))*7))</f>
        <v/>
      </c>
      <c r="H30" s="19" t="str" cm="1">
        <f t="array" aca="1" ref="H30" ca="1">IF(INDIRECT("Sheet2!I" &amp; 9 + (ROW(H30)-ROW($C$4))*7)=0, "", INDIRECT("Sheet2!I" &amp; 9 + (ROW(H30)-ROW($C$4))*7))</f>
        <v/>
      </c>
      <c r="I30" s="19" t="str" cm="1">
        <f t="array" aca="1" ref="I30" ca="1">IF(INDIRECT("Sheet2!J" &amp; 9 + (ROW(I30)-ROW($C$4))*7)=0, "", INDIRECT("Sheet2!J" &amp; 9 + (ROW(I30)-ROW($C$4))*7))</f>
        <v/>
      </c>
      <c r="J30" s="19" t="str" cm="1">
        <f t="array" aca="1" ref="J30" ca="1">IF(INDIRECT("Sheet2!K" &amp; 9 + (ROW(J30)-ROW($C$4))*7)=0, "", INDIRECT("Sheet2!K" &amp; 9 + (ROW(J30)-ROW($C$4))*7))</f>
        <v/>
      </c>
      <c r="K30" s="19" t="str" cm="1">
        <f t="array" aca="1" ref="K30" ca="1">IF(INDIRECT("Sheet2!L" &amp; 9 + (ROW(K30)-ROW($C$4))*7)=0, "", INDIRECT("Sheet2!L" &amp; 9 + (ROW(K30)-ROW($C$4))*7))</f>
        <v/>
      </c>
      <c r="L30" s="19" t="str" cm="1">
        <f t="array" aca="1" ref="L30" ca="1">IF(INDIRECT("Sheet2!M" &amp; 9 + (ROW(L30)-ROW($C$4))*7)=0, "", INDIRECT("Sheet2!M" &amp; 9 + (ROW(L30)-ROW($C$4))*7))</f>
        <v/>
      </c>
      <c r="M30" s="19" t="str" cm="1">
        <f t="array" aca="1" ref="M30" ca="1">IF(INDIRECT("Sheet2!N" &amp; 9 + (ROW(M30)-ROW($C$4))*7)=0, "", INDIRECT("Sheet2!N" &amp; 9 + (ROW(M30)-ROW($C$4))*7))</f>
        <v/>
      </c>
      <c r="N30" s="19" t="str" cm="1">
        <f t="array" aca="1" ref="N30" ca="1">IF(INDIRECT("Sheet2!O" &amp; 9 + (ROW(O30)-ROW($C$4))*7)=0, "", INDIRECT("Sheet2!O" &amp; 9 + (ROW(O30)-ROW($C$4))*7))</f>
        <v/>
      </c>
      <c r="O30" s="19" t="str" cm="1">
        <f t="array" aca="1" ref="O30" ca="1">IF(INDIRECT("Sheet2!P" &amp; 9 + (ROW(P30)-ROW($C$4))*7)=0, "", INDIRECT("Sheet2!P" &amp; 9 + (ROW(P30)-ROW($C$4))*7))</f>
        <v/>
      </c>
    </row>
    <row r="31" spans="2:15" ht="18.75" x14ac:dyDescent="0.25">
      <c r="B31" s="1" t="s">
        <v>32</v>
      </c>
      <c r="C31" s="19" t="str" cm="1">
        <f t="array" aca="1" ref="C31" ca="1">IF(INDIRECT("Sheet2!D" &amp; 9 + (ROW(C31)-ROW($C$4))*7)=0, "", INDIRECT("Sheet2!D" &amp; 9 + (ROW(C31)-ROW($C$4))*7))</f>
        <v/>
      </c>
      <c r="D31" s="19" t="str" cm="1">
        <f t="array" aca="1" ref="D31" ca="1">IF(INDIRECT("Sheet2!E" &amp; 9 + (ROW(D31)-ROW($C$4))*7)=0, "", INDIRECT("Sheet2!E" &amp; 9 + (ROW(D31)-ROW($C$4))*7))</f>
        <v/>
      </c>
      <c r="E31" s="19" t="str" cm="1">
        <f t="array" aca="1" ref="E31" ca="1">IF(INDIRECT("Sheet2!F" &amp; 9 + (ROW(E31)-ROW($C$4))*7)=0, "", INDIRECT("Sheet2!F" &amp; 9 + (ROW(E31)-ROW($C$4))*7))</f>
        <v/>
      </c>
      <c r="F31" s="19" t="str" cm="1">
        <f t="array" aca="1" ref="F31" ca="1">IF(INDIRECT("Sheet2!G" &amp; 9 + (ROW(F31)-ROW($C$4))*7)=0, "", INDIRECT("Sheet2!G" &amp; 9 + (ROW(F31)-ROW($C$4))*7))</f>
        <v/>
      </c>
      <c r="G31" s="19" t="str" cm="1">
        <f t="array" aca="1" ref="G31" ca="1">IF(INDIRECT("Sheet2!H" &amp; 9 + (ROW(G31)-ROW($C$4))*7)=0, "", INDIRECT("Sheet2!H" &amp; 9 + (ROW(G31)-ROW($C$4))*7))</f>
        <v/>
      </c>
      <c r="H31" s="19" t="str" cm="1">
        <f t="array" aca="1" ref="H31" ca="1">IF(INDIRECT("Sheet2!I" &amp; 9 + (ROW(H31)-ROW($C$4))*7)=0, "", INDIRECT("Sheet2!I" &amp; 9 + (ROW(H31)-ROW($C$4))*7))</f>
        <v/>
      </c>
      <c r="I31" s="19" t="str" cm="1">
        <f t="array" aca="1" ref="I31" ca="1">IF(INDIRECT("Sheet2!J" &amp; 9 + (ROW(I31)-ROW($C$4))*7)=0, "", INDIRECT("Sheet2!J" &amp; 9 + (ROW(I31)-ROW($C$4))*7))</f>
        <v/>
      </c>
      <c r="J31" s="19" t="str" cm="1">
        <f t="array" aca="1" ref="J31" ca="1">IF(INDIRECT("Sheet2!K" &amp; 9 + (ROW(J31)-ROW($C$4))*7)=0, "", INDIRECT("Sheet2!K" &amp; 9 + (ROW(J31)-ROW($C$4))*7))</f>
        <v/>
      </c>
      <c r="K31" s="19" t="str" cm="1">
        <f t="array" aca="1" ref="K31" ca="1">IF(INDIRECT("Sheet2!L" &amp; 9 + (ROW(K31)-ROW($C$4))*7)=0, "", INDIRECT("Sheet2!L" &amp; 9 + (ROW(K31)-ROW($C$4))*7))</f>
        <v/>
      </c>
      <c r="L31" s="19" t="str" cm="1">
        <f t="array" aca="1" ref="L31" ca="1">IF(INDIRECT("Sheet2!M" &amp; 9 + (ROW(L31)-ROW($C$4))*7)=0, "", INDIRECT("Sheet2!M" &amp; 9 + (ROW(L31)-ROW($C$4))*7))</f>
        <v/>
      </c>
      <c r="M31" s="19" t="str" cm="1">
        <f t="array" aca="1" ref="M31" ca="1">IF(INDIRECT("Sheet2!N" &amp; 9 + (ROW(M31)-ROW($C$4))*7)=0, "", INDIRECT("Sheet2!N" &amp; 9 + (ROW(M31)-ROW($C$4))*7))</f>
        <v/>
      </c>
      <c r="N31" s="19" t="str" cm="1">
        <f t="array" aca="1" ref="N31" ca="1">IF(INDIRECT("Sheet2!O" &amp; 9 + (ROW(O31)-ROW($C$4))*7)=0, "", INDIRECT("Sheet2!O" &amp; 9 + (ROW(O31)-ROW($C$4))*7))</f>
        <v/>
      </c>
      <c r="O31" s="19" t="str" cm="1">
        <f t="array" aca="1" ref="O31" ca="1">IF(INDIRECT("Sheet2!P" &amp; 9 + (ROW(P31)-ROW($C$4))*7)=0, "", INDIRECT("Sheet2!P" &amp; 9 + (ROW(P31)-ROW($C$4))*7))</f>
        <v/>
      </c>
    </row>
    <row r="32" spans="2:15" ht="18.75" x14ac:dyDescent="0.25">
      <c r="B32" s="1" t="s">
        <v>33</v>
      </c>
      <c r="C32" s="19" t="str" cm="1">
        <f t="array" aca="1" ref="C32" ca="1">IF(INDIRECT("Sheet2!D" &amp; 9 + (ROW(C32)-ROW($C$4))*7)=0, "", INDIRECT("Sheet2!D" &amp; 9 + (ROW(C32)-ROW($C$4))*7))</f>
        <v/>
      </c>
      <c r="D32" s="19" t="str" cm="1">
        <f t="array" aca="1" ref="D32" ca="1">IF(INDIRECT("Sheet2!E" &amp; 9 + (ROW(D32)-ROW($C$4))*7)=0, "", INDIRECT("Sheet2!E" &amp; 9 + (ROW(D32)-ROW($C$4))*7))</f>
        <v/>
      </c>
      <c r="E32" s="19" t="str" cm="1">
        <f t="array" aca="1" ref="E32" ca="1">IF(INDIRECT("Sheet2!F" &amp; 9 + (ROW(E32)-ROW($C$4))*7)=0, "", INDIRECT("Sheet2!F" &amp; 9 + (ROW(E32)-ROW($C$4))*7))</f>
        <v/>
      </c>
      <c r="F32" s="19" t="str" cm="1">
        <f t="array" aca="1" ref="F32" ca="1">IF(INDIRECT("Sheet2!G" &amp; 9 + (ROW(F32)-ROW($C$4))*7)=0, "", INDIRECT("Sheet2!G" &amp; 9 + (ROW(F32)-ROW($C$4))*7))</f>
        <v/>
      </c>
      <c r="G32" s="19" t="str" cm="1">
        <f t="array" aca="1" ref="G32" ca="1">IF(INDIRECT("Sheet2!H" &amp; 9 + (ROW(G32)-ROW($C$4))*7)=0, "", INDIRECT("Sheet2!H" &amp; 9 + (ROW(G32)-ROW($C$4))*7))</f>
        <v/>
      </c>
      <c r="H32" s="19" t="str" cm="1">
        <f t="array" aca="1" ref="H32" ca="1">IF(INDIRECT("Sheet2!I" &amp; 9 + (ROW(H32)-ROW($C$4))*7)=0, "", INDIRECT("Sheet2!I" &amp; 9 + (ROW(H32)-ROW($C$4))*7))</f>
        <v/>
      </c>
      <c r="I32" s="19" t="str" cm="1">
        <f t="array" aca="1" ref="I32" ca="1">IF(INDIRECT("Sheet2!J" &amp; 9 + (ROW(I32)-ROW($C$4))*7)=0, "", INDIRECT("Sheet2!J" &amp; 9 + (ROW(I32)-ROW($C$4))*7))</f>
        <v/>
      </c>
      <c r="J32" s="19" t="str" cm="1">
        <f t="array" aca="1" ref="J32" ca="1">IF(INDIRECT("Sheet2!K" &amp; 9 + (ROW(J32)-ROW($C$4))*7)=0, "", INDIRECT("Sheet2!K" &amp; 9 + (ROW(J32)-ROW($C$4))*7))</f>
        <v/>
      </c>
      <c r="K32" s="19" t="str" cm="1">
        <f t="array" aca="1" ref="K32" ca="1">IF(INDIRECT("Sheet2!L" &amp; 9 + (ROW(K32)-ROW($C$4))*7)=0, "", INDIRECT("Sheet2!L" &amp; 9 + (ROW(K32)-ROW($C$4))*7))</f>
        <v/>
      </c>
      <c r="L32" s="19" t="str" cm="1">
        <f t="array" aca="1" ref="L32" ca="1">IF(INDIRECT("Sheet2!M" &amp; 9 + (ROW(L32)-ROW($C$4))*7)=0, "", INDIRECT("Sheet2!M" &amp; 9 + (ROW(L32)-ROW($C$4))*7))</f>
        <v/>
      </c>
      <c r="M32" s="19" t="str" cm="1">
        <f t="array" aca="1" ref="M32" ca="1">IF(INDIRECT("Sheet2!N" &amp; 9 + (ROW(M32)-ROW($C$4))*7)=0, "", INDIRECT("Sheet2!N" &amp; 9 + (ROW(M32)-ROW($C$4))*7))</f>
        <v/>
      </c>
      <c r="N32" s="19" t="str" cm="1">
        <f t="array" aca="1" ref="N32" ca="1">IF(INDIRECT("Sheet2!O" &amp; 9 + (ROW(O32)-ROW($C$4))*7)=0, "", INDIRECT("Sheet2!O" &amp; 9 + (ROW(O32)-ROW($C$4))*7))</f>
        <v/>
      </c>
      <c r="O32" s="19" t="str" cm="1">
        <f t="array" aca="1" ref="O32" ca="1">IF(INDIRECT("Sheet2!P" &amp; 9 + (ROW(P32)-ROW($C$4))*7)=0, "", INDIRECT("Sheet2!P" &amp; 9 + (ROW(P32)-ROW($C$4))*7))</f>
        <v/>
      </c>
    </row>
    <row r="33" spans="2:15" ht="18.75" x14ac:dyDescent="0.25">
      <c r="B33" s="1" t="s">
        <v>34</v>
      </c>
      <c r="C33" s="19" t="str" cm="1">
        <f t="array" aca="1" ref="C33" ca="1">IF(INDIRECT("Sheet2!D" &amp; 9 + (ROW(C33)-ROW($C$4))*7)=0, "", INDIRECT("Sheet2!D" &amp; 9 + (ROW(C33)-ROW($C$4))*7))</f>
        <v/>
      </c>
      <c r="D33" s="19" t="str" cm="1">
        <f t="array" aca="1" ref="D33" ca="1">IF(INDIRECT("Sheet2!E" &amp; 9 + (ROW(D33)-ROW($C$4))*7)=0, "", INDIRECT("Sheet2!E" &amp; 9 + (ROW(D33)-ROW($C$4))*7))</f>
        <v/>
      </c>
      <c r="E33" s="19" t="str" cm="1">
        <f t="array" aca="1" ref="E33" ca="1">IF(INDIRECT("Sheet2!F" &amp; 9 + (ROW(E33)-ROW($C$4))*7)=0, "", INDIRECT("Sheet2!F" &amp; 9 + (ROW(E33)-ROW($C$4))*7))</f>
        <v/>
      </c>
      <c r="F33" s="19" t="str" cm="1">
        <f t="array" aca="1" ref="F33" ca="1">IF(INDIRECT("Sheet2!G" &amp; 9 + (ROW(F33)-ROW($C$4))*7)=0, "", INDIRECT("Sheet2!G" &amp; 9 + (ROW(F33)-ROW($C$4))*7))</f>
        <v/>
      </c>
      <c r="G33" s="19" t="str" cm="1">
        <f t="array" aca="1" ref="G33" ca="1">IF(INDIRECT("Sheet2!H" &amp; 9 + (ROW(G33)-ROW($C$4))*7)=0, "", INDIRECT("Sheet2!H" &amp; 9 + (ROW(G33)-ROW($C$4))*7))</f>
        <v/>
      </c>
      <c r="H33" s="19" t="str" cm="1">
        <f t="array" aca="1" ref="H33" ca="1">IF(INDIRECT("Sheet2!I" &amp; 9 + (ROW(H33)-ROW($C$4))*7)=0, "", INDIRECT("Sheet2!I" &amp; 9 + (ROW(H33)-ROW($C$4))*7))</f>
        <v/>
      </c>
      <c r="I33" s="19" t="str" cm="1">
        <f t="array" aca="1" ref="I33" ca="1">IF(INDIRECT("Sheet2!J" &amp; 9 + (ROW(I33)-ROW($C$4))*7)=0, "", INDIRECT("Sheet2!J" &amp; 9 + (ROW(I33)-ROW($C$4))*7))</f>
        <v/>
      </c>
      <c r="J33" s="19" t="str" cm="1">
        <f t="array" aca="1" ref="J33" ca="1">IF(INDIRECT("Sheet2!K" &amp; 9 + (ROW(J33)-ROW($C$4))*7)=0, "", INDIRECT("Sheet2!K" &amp; 9 + (ROW(J33)-ROW($C$4))*7))</f>
        <v/>
      </c>
      <c r="K33" s="19" t="str" cm="1">
        <f t="array" aca="1" ref="K33" ca="1">IF(INDIRECT("Sheet2!L" &amp; 9 + (ROW(K33)-ROW($C$4))*7)=0, "", INDIRECT("Sheet2!L" &amp; 9 + (ROW(K33)-ROW($C$4))*7))</f>
        <v/>
      </c>
      <c r="L33" s="19" t="str" cm="1">
        <f t="array" aca="1" ref="L33" ca="1">IF(INDIRECT("Sheet2!M" &amp; 9 + (ROW(L33)-ROW($C$4))*7)=0, "", INDIRECT("Sheet2!M" &amp; 9 + (ROW(L33)-ROW($C$4))*7))</f>
        <v/>
      </c>
      <c r="M33" s="19" t="str" cm="1">
        <f t="array" aca="1" ref="M33" ca="1">IF(INDIRECT("Sheet2!N" &amp; 9 + (ROW(M33)-ROW($C$4))*7)=0, "", INDIRECT("Sheet2!N" &amp; 9 + (ROW(M33)-ROW($C$4))*7))</f>
        <v/>
      </c>
      <c r="N33" s="19" t="str" cm="1">
        <f t="array" aca="1" ref="N33" ca="1">IF(INDIRECT("Sheet2!O" &amp; 9 + (ROW(O33)-ROW($C$4))*7)=0, "", INDIRECT("Sheet2!O" &amp; 9 + (ROW(O33)-ROW($C$4))*7))</f>
        <v/>
      </c>
      <c r="O33" s="19" t="str" cm="1">
        <f t="array" aca="1" ref="O33" ca="1">IF(INDIRECT("Sheet2!P" &amp; 9 + (ROW(P33)-ROW($C$4))*7)=0, "", INDIRECT("Sheet2!P" &amp; 9 + (ROW(P33)-ROW($C$4))*7))</f>
        <v/>
      </c>
    </row>
    <row r="34" spans="2:15" ht="18.75" x14ac:dyDescent="0.25">
      <c r="B34" s="1" t="s">
        <v>35</v>
      </c>
      <c r="C34" s="19" t="str" cm="1">
        <f t="array" aca="1" ref="C34" ca="1">IF(INDIRECT("Sheet2!D" &amp; 9 + (ROW(C34)-ROW($C$4))*7)=0, "", INDIRECT("Sheet2!D" &amp; 9 + (ROW(C34)-ROW($C$4))*7))</f>
        <v/>
      </c>
      <c r="D34" s="19" t="str" cm="1">
        <f t="array" aca="1" ref="D34" ca="1">IF(INDIRECT("Sheet2!E" &amp; 9 + (ROW(D34)-ROW($C$4))*7)=0, "", INDIRECT("Sheet2!E" &amp; 9 + (ROW(D34)-ROW($C$4))*7))</f>
        <v/>
      </c>
      <c r="E34" s="19" t="str" cm="1">
        <f t="array" aca="1" ref="E34" ca="1">IF(INDIRECT("Sheet2!F" &amp; 9 + (ROW(E34)-ROW($C$4))*7)=0, "", INDIRECT("Sheet2!F" &amp; 9 + (ROW(E34)-ROW($C$4))*7))</f>
        <v/>
      </c>
      <c r="F34" s="19" t="str" cm="1">
        <f t="array" aca="1" ref="F34" ca="1">IF(INDIRECT("Sheet2!G" &amp; 9 + (ROW(F34)-ROW($C$4))*7)=0, "", INDIRECT("Sheet2!G" &amp; 9 + (ROW(F34)-ROW($C$4))*7))</f>
        <v/>
      </c>
      <c r="G34" s="19" t="str" cm="1">
        <f t="array" aca="1" ref="G34" ca="1">IF(INDIRECT("Sheet2!H" &amp; 9 + (ROW(G34)-ROW($C$4))*7)=0, "", INDIRECT("Sheet2!H" &amp; 9 + (ROW(G34)-ROW($C$4))*7))</f>
        <v/>
      </c>
      <c r="H34" s="19" t="str" cm="1">
        <f t="array" aca="1" ref="H34" ca="1">IF(INDIRECT("Sheet2!I" &amp; 9 + (ROW(H34)-ROW($C$4))*7)=0, "", INDIRECT("Sheet2!I" &amp; 9 + (ROW(H34)-ROW($C$4))*7))</f>
        <v/>
      </c>
      <c r="I34" s="19" t="str" cm="1">
        <f t="array" aca="1" ref="I34" ca="1">IF(INDIRECT("Sheet2!J" &amp; 9 + (ROW(I34)-ROW($C$4))*7)=0, "", INDIRECT("Sheet2!J" &amp; 9 + (ROW(I34)-ROW($C$4))*7))</f>
        <v/>
      </c>
      <c r="J34" s="19" t="str" cm="1">
        <f t="array" aca="1" ref="J34" ca="1">IF(INDIRECT("Sheet2!K" &amp; 9 + (ROW(J34)-ROW($C$4))*7)=0, "", INDIRECT("Sheet2!K" &amp; 9 + (ROW(J34)-ROW($C$4))*7))</f>
        <v/>
      </c>
      <c r="K34" s="19" t="str" cm="1">
        <f t="array" aca="1" ref="K34" ca="1">IF(INDIRECT("Sheet2!L" &amp; 9 + (ROW(K34)-ROW($C$4))*7)=0, "", INDIRECT("Sheet2!L" &amp; 9 + (ROW(K34)-ROW($C$4))*7))</f>
        <v/>
      </c>
      <c r="L34" s="19" t="str" cm="1">
        <f t="array" aca="1" ref="L34" ca="1">IF(INDIRECT("Sheet2!M" &amp; 9 + (ROW(L34)-ROW($C$4))*7)=0, "", INDIRECT("Sheet2!M" &amp; 9 + (ROW(L34)-ROW($C$4))*7))</f>
        <v/>
      </c>
      <c r="M34" s="19" t="str" cm="1">
        <f t="array" aca="1" ref="M34" ca="1">IF(INDIRECT("Sheet2!N" &amp; 9 + (ROW(M34)-ROW($C$4))*7)=0, "", INDIRECT("Sheet2!N" &amp; 9 + (ROW(M34)-ROW($C$4))*7))</f>
        <v/>
      </c>
      <c r="N34" s="19" t="str" cm="1">
        <f t="array" aca="1" ref="N34" ca="1">IF(INDIRECT("Sheet2!O" &amp; 9 + (ROW(O34)-ROW($C$4))*7)=0, "", INDIRECT("Sheet2!O" &amp; 9 + (ROW(O34)-ROW($C$4))*7))</f>
        <v/>
      </c>
      <c r="O34" s="19" t="str" cm="1">
        <f t="array" aca="1" ref="O34" ca="1">IF(INDIRECT("Sheet2!P" &amp; 9 + (ROW(P34)-ROW($C$4))*7)=0, "", INDIRECT("Sheet2!P" &amp; 9 + (ROW(P34)-ROW($C$4))*7))</f>
        <v/>
      </c>
    </row>
    <row r="35" spans="2:15" ht="18.75" x14ac:dyDescent="0.25">
      <c r="B35" s="1" t="s">
        <v>36</v>
      </c>
      <c r="C35" s="19" t="str" cm="1">
        <f t="array" aca="1" ref="C35" ca="1">IF(INDIRECT("Sheet2!D" &amp; 9 + (ROW(C35)-ROW($C$4))*7)=0, "", INDIRECT("Sheet2!D" &amp; 9 + (ROW(C35)-ROW($C$4))*7))</f>
        <v/>
      </c>
      <c r="D35" s="19" t="str" cm="1">
        <f t="array" aca="1" ref="D35" ca="1">IF(INDIRECT("Sheet2!E" &amp; 9 + (ROW(D35)-ROW($C$4))*7)=0, "", INDIRECT("Sheet2!E" &amp; 9 + (ROW(D35)-ROW($C$4))*7))</f>
        <v/>
      </c>
      <c r="E35" s="19" t="str" cm="1">
        <f t="array" aca="1" ref="E35" ca="1">IF(INDIRECT("Sheet2!F" &amp; 9 + (ROW(E35)-ROW($C$4))*7)=0, "", INDIRECT("Sheet2!F" &amp; 9 + (ROW(E35)-ROW($C$4))*7))</f>
        <v/>
      </c>
      <c r="F35" s="19" t="str" cm="1">
        <f t="array" aca="1" ref="F35" ca="1">IF(INDIRECT("Sheet2!G" &amp; 9 + (ROW(F35)-ROW($C$4))*7)=0, "", INDIRECT("Sheet2!G" &amp; 9 + (ROW(F35)-ROW($C$4))*7))</f>
        <v/>
      </c>
      <c r="G35" s="19" t="str" cm="1">
        <f t="array" aca="1" ref="G35" ca="1">IF(INDIRECT("Sheet2!H" &amp; 9 + (ROW(G35)-ROW($C$4))*7)=0, "", INDIRECT("Sheet2!H" &amp; 9 + (ROW(G35)-ROW($C$4))*7))</f>
        <v/>
      </c>
      <c r="H35" s="19" t="str" cm="1">
        <f t="array" aca="1" ref="H35" ca="1">IF(INDIRECT("Sheet2!I" &amp; 9 + (ROW(H35)-ROW($C$4))*7)=0, "", INDIRECT("Sheet2!I" &amp; 9 + (ROW(H35)-ROW($C$4))*7))</f>
        <v/>
      </c>
      <c r="I35" s="19" t="str" cm="1">
        <f t="array" aca="1" ref="I35" ca="1">IF(INDIRECT("Sheet2!J" &amp; 9 + (ROW(I35)-ROW($C$4))*7)=0, "", INDIRECT("Sheet2!J" &amp; 9 + (ROW(I35)-ROW($C$4))*7))</f>
        <v/>
      </c>
      <c r="J35" s="19" t="str" cm="1">
        <f t="array" aca="1" ref="J35" ca="1">IF(INDIRECT("Sheet2!K" &amp; 9 + (ROW(J35)-ROW($C$4))*7)=0, "", INDIRECT("Sheet2!K" &amp; 9 + (ROW(J35)-ROW($C$4))*7))</f>
        <v/>
      </c>
      <c r="K35" s="19" t="str" cm="1">
        <f t="array" aca="1" ref="K35" ca="1">IF(INDIRECT("Sheet2!L" &amp; 9 + (ROW(K35)-ROW($C$4))*7)=0, "", INDIRECT("Sheet2!L" &amp; 9 + (ROW(K35)-ROW($C$4))*7))</f>
        <v/>
      </c>
      <c r="L35" s="19" t="str" cm="1">
        <f t="array" aca="1" ref="L35" ca="1">IF(INDIRECT("Sheet2!M" &amp; 9 + (ROW(L35)-ROW($C$4))*7)=0, "", INDIRECT("Sheet2!M" &amp; 9 + (ROW(L35)-ROW($C$4))*7))</f>
        <v/>
      </c>
      <c r="M35" s="19" t="str" cm="1">
        <f t="array" aca="1" ref="M35" ca="1">IF(INDIRECT("Sheet2!N" &amp; 9 + (ROW(M35)-ROW($C$4))*7)=0, "", INDIRECT("Sheet2!N" &amp; 9 + (ROW(M35)-ROW($C$4))*7))</f>
        <v/>
      </c>
      <c r="N35" s="19" t="str" cm="1">
        <f t="array" aca="1" ref="N35" ca="1">IF(INDIRECT("Sheet2!O" &amp; 9 + (ROW(O35)-ROW($C$4))*7)=0, "", INDIRECT("Sheet2!O" &amp; 9 + (ROW(O35)-ROW($C$4))*7))</f>
        <v/>
      </c>
      <c r="O35" s="19" t="str" cm="1">
        <f t="array" aca="1" ref="O35" ca="1">IF(INDIRECT("Sheet2!P" &amp; 9 + (ROW(P35)-ROW($C$4))*7)=0, "", INDIRECT("Sheet2!P" &amp; 9 + (ROW(P35)-ROW($C$4))*7))</f>
        <v/>
      </c>
    </row>
    <row r="36" spans="2:15" ht="18.75" x14ac:dyDescent="0.25">
      <c r="B36" s="1" t="s">
        <v>37</v>
      </c>
      <c r="C36" s="19" t="str" cm="1">
        <f t="array" aca="1" ref="C36" ca="1">IF(INDIRECT("Sheet2!D" &amp; 9 + (ROW(C36)-ROW($C$4))*7)=0, "", INDIRECT("Sheet2!D" &amp; 9 + (ROW(C36)-ROW($C$4))*7))</f>
        <v/>
      </c>
      <c r="D36" s="19" t="str" cm="1">
        <f t="array" aca="1" ref="D36" ca="1">IF(INDIRECT("Sheet2!E" &amp; 9 + (ROW(D36)-ROW($C$4))*7)=0, "", INDIRECT("Sheet2!E" &amp; 9 + (ROW(D36)-ROW($C$4))*7))</f>
        <v/>
      </c>
      <c r="E36" s="19" t="str" cm="1">
        <f t="array" aca="1" ref="E36" ca="1">IF(INDIRECT("Sheet2!F" &amp; 9 + (ROW(E36)-ROW($C$4))*7)=0, "", INDIRECT("Sheet2!F" &amp; 9 + (ROW(E36)-ROW($C$4))*7))</f>
        <v/>
      </c>
      <c r="F36" s="19" t="str" cm="1">
        <f t="array" aca="1" ref="F36" ca="1">IF(INDIRECT("Sheet2!G" &amp; 9 + (ROW(F36)-ROW($C$4))*7)=0, "", INDIRECT("Sheet2!G" &amp; 9 + (ROW(F36)-ROW($C$4))*7))</f>
        <v/>
      </c>
      <c r="G36" s="19" t="str" cm="1">
        <f t="array" aca="1" ref="G36" ca="1">IF(INDIRECT("Sheet2!H" &amp; 9 + (ROW(G36)-ROW($C$4))*7)=0, "", INDIRECT("Sheet2!H" &amp; 9 + (ROW(G36)-ROW($C$4))*7))</f>
        <v/>
      </c>
      <c r="H36" s="19" t="str" cm="1">
        <f t="array" aca="1" ref="H36" ca="1">IF(INDIRECT("Sheet2!I" &amp; 9 + (ROW(H36)-ROW($C$4))*7)=0, "", INDIRECT("Sheet2!I" &amp; 9 + (ROW(H36)-ROW($C$4))*7))</f>
        <v/>
      </c>
      <c r="I36" s="19" t="str" cm="1">
        <f t="array" aca="1" ref="I36" ca="1">IF(INDIRECT("Sheet2!J" &amp; 9 + (ROW(I36)-ROW($C$4))*7)=0, "", INDIRECT("Sheet2!J" &amp; 9 + (ROW(I36)-ROW($C$4))*7))</f>
        <v/>
      </c>
      <c r="J36" s="19" t="str" cm="1">
        <f t="array" aca="1" ref="J36" ca="1">IF(INDIRECT("Sheet2!K" &amp; 9 + (ROW(J36)-ROW($C$4))*7)=0, "", INDIRECT("Sheet2!K" &amp; 9 + (ROW(J36)-ROW($C$4))*7))</f>
        <v/>
      </c>
      <c r="K36" s="19" t="str" cm="1">
        <f t="array" aca="1" ref="K36" ca="1">IF(INDIRECT("Sheet2!L" &amp; 9 + (ROW(K36)-ROW($C$4))*7)=0, "", INDIRECT("Sheet2!L" &amp; 9 + (ROW(K36)-ROW($C$4))*7))</f>
        <v/>
      </c>
      <c r="L36" s="19" t="str" cm="1">
        <f t="array" aca="1" ref="L36" ca="1">IF(INDIRECT("Sheet2!M" &amp; 9 + (ROW(L36)-ROW($C$4))*7)=0, "", INDIRECT("Sheet2!M" &amp; 9 + (ROW(L36)-ROW($C$4))*7))</f>
        <v/>
      </c>
      <c r="M36" s="19" t="str" cm="1">
        <f t="array" aca="1" ref="M36" ca="1">IF(INDIRECT("Sheet2!N" &amp; 9 + (ROW(M36)-ROW($C$4))*7)=0, "", INDIRECT("Sheet2!N" &amp; 9 + (ROW(M36)-ROW($C$4))*7))</f>
        <v/>
      </c>
      <c r="N36" s="19" t="str" cm="1">
        <f t="array" aca="1" ref="N36" ca="1">IF(INDIRECT("Sheet2!O" &amp; 9 + (ROW(O36)-ROW($C$4))*7)=0, "", INDIRECT("Sheet2!O" &amp; 9 + (ROW(O36)-ROW($C$4))*7))</f>
        <v/>
      </c>
      <c r="O36" s="19" t="str" cm="1">
        <f t="array" aca="1" ref="O36" ca="1">IF(INDIRECT("Sheet2!P" &amp; 9 + (ROW(P36)-ROW($C$4))*7)=0, "", INDIRECT("Sheet2!P" &amp; 9 + (ROW(P36)-ROW($C$4))*7))</f>
        <v/>
      </c>
    </row>
    <row r="37" spans="2:15" ht="18.75" x14ac:dyDescent="0.25">
      <c r="B37" s="1" t="s">
        <v>38</v>
      </c>
      <c r="C37" s="19" t="str" cm="1">
        <f t="array" aca="1" ref="C37" ca="1">IF(INDIRECT("Sheet2!D" &amp; 9 + (ROW(C37)-ROW($C$4))*7)=0, "", INDIRECT("Sheet2!D" &amp; 9 + (ROW(C37)-ROW($C$4))*7))</f>
        <v/>
      </c>
      <c r="D37" s="19" t="str" cm="1">
        <f t="array" aca="1" ref="D37" ca="1">IF(INDIRECT("Sheet2!E" &amp; 9 + (ROW(D37)-ROW($C$4))*7)=0, "", INDIRECT("Sheet2!E" &amp; 9 + (ROW(D37)-ROW($C$4))*7))</f>
        <v/>
      </c>
      <c r="E37" s="19" t="str" cm="1">
        <f t="array" aca="1" ref="E37" ca="1">IF(INDIRECT("Sheet2!F" &amp; 9 + (ROW(E37)-ROW($C$4))*7)=0, "", INDIRECT("Sheet2!F" &amp; 9 + (ROW(E37)-ROW($C$4))*7))</f>
        <v/>
      </c>
      <c r="F37" s="19" t="str" cm="1">
        <f t="array" aca="1" ref="F37" ca="1">IF(INDIRECT("Sheet2!G" &amp; 9 + (ROW(F37)-ROW($C$4))*7)=0, "", INDIRECT("Sheet2!G" &amp; 9 + (ROW(F37)-ROW($C$4))*7))</f>
        <v/>
      </c>
      <c r="G37" s="19" t="str" cm="1">
        <f t="array" aca="1" ref="G37" ca="1">IF(INDIRECT("Sheet2!H" &amp; 9 + (ROW(G37)-ROW($C$4))*7)=0, "", INDIRECT("Sheet2!H" &amp; 9 + (ROW(G37)-ROW($C$4))*7))</f>
        <v/>
      </c>
      <c r="H37" s="19" t="str" cm="1">
        <f t="array" aca="1" ref="H37" ca="1">IF(INDIRECT("Sheet2!I" &amp; 9 + (ROW(H37)-ROW($C$4))*7)=0, "", INDIRECT("Sheet2!I" &amp; 9 + (ROW(H37)-ROW($C$4))*7))</f>
        <v/>
      </c>
      <c r="I37" s="19" t="str" cm="1">
        <f t="array" aca="1" ref="I37" ca="1">IF(INDIRECT("Sheet2!J" &amp; 9 + (ROW(I37)-ROW($C$4))*7)=0, "", INDIRECT("Sheet2!J" &amp; 9 + (ROW(I37)-ROW($C$4))*7))</f>
        <v/>
      </c>
      <c r="J37" s="19" t="str" cm="1">
        <f t="array" aca="1" ref="J37" ca="1">IF(INDIRECT("Sheet2!K" &amp; 9 + (ROW(J37)-ROW($C$4))*7)=0, "", INDIRECT("Sheet2!K" &amp; 9 + (ROW(J37)-ROW($C$4))*7))</f>
        <v/>
      </c>
      <c r="K37" s="19" t="str" cm="1">
        <f t="array" aca="1" ref="K37" ca="1">IF(INDIRECT("Sheet2!L" &amp; 9 + (ROW(K37)-ROW($C$4))*7)=0, "", INDIRECT("Sheet2!L" &amp; 9 + (ROW(K37)-ROW($C$4))*7))</f>
        <v/>
      </c>
      <c r="L37" s="19" t="str" cm="1">
        <f t="array" aca="1" ref="L37" ca="1">IF(INDIRECT("Sheet2!M" &amp; 9 + (ROW(L37)-ROW($C$4))*7)=0, "", INDIRECT("Sheet2!M" &amp; 9 + (ROW(L37)-ROW($C$4))*7))</f>
        <v/>
      </c>
      <c r="M37" s="19" t="str" cm="1">
        <f t="array" aca="1" ref="M37" ca="1">IF(INDIRECT("Sheet2!N" &amp; 9 + (ROW(M37)-ROW($C$4))*7)=0, "", INDIRECT("Sheet2!N" &amp; 9 + (ROW(M37)-ROW($C$4))*7))</f>
        <v/>
      </c>
      <c r="N37" s="19" t="str" cm="1">
        <f t="array" aca="1" ref="N37" ca="1">IF(INDIRECT("Sheet2!O" &amp; 9 + (ROW(O37)-ROW($C$4))*7)=0, "", INDIRECT("Sheet2!O" &amp; 9 + (ROW(O37)-ROW($C$4))*7))</f>
        <v/>
      </c>
      <c r="O37" s="19" t="str" cm="1">
        <f t="array" aca="1" ref="O37" ca="1">IF(INDIRECT("Sheet2!P" &amp; 9 + (ROW(P37)-ROW($C$4))*7)=0, "", INDIRECT("Sheet2!P" &amp; 9 + (ROW(P37)-ROW($C$4))*7))</f>
        <v/>
      </c>
    </row>
    <row r="38" spans="2:15" ht="18.75" x14ac:dyDescent="0.25">
      <c r="B38" s="1" t="s">
        <v>39</v>
      </c>
      <c r="C38" s="19" t="str" cm="1">
        <f t="array" aca="1" ref="C38" ca="1">IF(INDIRECT("Sheet2!D" &amp; 9 + (ROW(C38)-ROW($C$4))*7)=0, "", INDIRECT("Sheet2!D" &amp; 9 + (ROW(C38)-ROW($C$4))*7))</f>
        <v/>
      </c>
      <c r="D38" s="19" t="str" cm="1">
        <f t="array" aca="1" ref="D38" ca="1">IF(INDIRECT("Sheet2!E" &amp; 9 + (ROW(D38)-ROW($C$4))*7)=0, "", INDIRECT("Sheet2!E" &amp; 9 + (ROW(D38)-ROW($C$4))*7))</f>
        <v/>
      </c>
      <c r="E38" s="19" t="str" cm="1">
        <f t="array" aca="1" ref="E38" ca="1">IF(INDIRECT("Sheet2!F" &amp; 9 + (ROW(E38)-ROW($C$4))*7)=0, "", INDIRECT("Sheet2!F" &amp; 9 + (ROW(E38)-ROW($C$4))*7))</f>
        <v/>
      </c>
      <c r="F38" s="19" t="str" cm="1">
        <f t="array" aca="1" ref="F38" ca="1">IF(INDIRECT("Sheet2!G" &amp; 9 + (ROW(F38)-ROW($C$4))*7)=0, "", INDIRECT("Sheet2!G" &amp; 9 + (ROW(F38)-ROW($C$4))*7))</f>
        <v/>
      </c>
      <c r="G38" s="19" t="str" cm="1">
        <f t="array" aca="1" ref="G38" ca="1">IF(INDIRECT("Sheet2!H" &amp; 9 + (ROW(G38)-ROW($C$4))*7)=0, "", INDIRECT("Sheet2!H" &amp; 9 + (ROW(G38)-ROW($C$4))*7))</f>
        <v/>
      </c>
      <c r="H38" s="19" t="str" cm="1">
        <f t="array" aca="1" ref="H38" ca="1">IF(INDIRECT("Sheet2!I" &amp; 9 + (ROW(H38)-ROW($C$4))*7)=0, "", INDIRECT("Sheet2!I" &amp; 9 + (ROW(H38)-ROW($C$4))*7))</f>
        <v/>
      </c>
      <c r="I38" s="19" t="str" cm="1">
        <f t="array" aca="1" ref="I38" ca="1">IF(INDIRECT("Sheet2!J" &amp; 9 + (ROW(I38)-ROW($C$4))*7)=0, "", INDIRECT("Sheet2!J" &amp; 9 + (ROW(I38)-ROW($C$4))*7))</f>
        <v/>
      </c>
      <c r="J38" s="19" t="str" cm="1">
        <f t="array" aca="1" ref="J38" ca="1">IF(INDIRECT("Sheet2!K" &amp; 9 + (ROW(J38)-ROW($C$4))*7)=0, "", INDIRECT("Sheet2!K" &amp; 9 + (ROW(J38)-ROW($C$4))*7))</f>
        <v/>
      </c>
      <c r="K38" s="19" t="str" cm="1">
        <f t="array" aca="1" ref="K38" ca="1">IF(INDIRECT("Sheet2!L" &amp; 9 + (ROW(K38)-ROW($C$4))*7)=0, "", INDIRECT("Sheet2!L" &amp; 9 + (ROW(K38)-ROW($C$4))*7))</f>
        <v/>
      </c>
      <c r="L38" s="19" t="str" cm="1">
        <f t="array" aca="1" ref="L38" ca="1">IF(INDIRECT("Sheet2!M" &amp; 9 + (ROW(L38)-ROW($C$4))*7)=0, "", INDIRECT("Sheet2!M" &amp; 9 + (ROW(L38)-ROW($C$4))*7))</f>
        <v/>
      </c>
      <c r="M38" s="19" t="str" cm="1">
        <f t="array" aca="1" ref="M38" ca="1">IF(INDIRECT("Sheet2!N" &amp; 9 + (ROW(M38)-ROW($C$4))*7)=0, "", INDIRECT("Sheet2!N" &amp; 9 + (ROW(M38)-ROW($C$4))*7))</f>
        <v/>
      </c>
      <c r="N38" s="19" t="str" cm="1">
        <f t="array" aca="1" ref="N38" ca="1">IF(INDIRECT("Sheet2!O" &amp; 9 + (ROW(O38)-ROW($C$4))*7)=0, "", INDIRECT("Sheet2!O" &amp; 9 + (ROW(O38)-ROW($C$4))*7))</f>
        <v/>
      </c>
      <c r="O38" s="19" t="str" cm="1">
        <f t="array" aca="1" ref="O38" ca="1">IF(INDIRECT("Sheet2!P" &amp; 9 + (ROW(P38)-ROW($C$4))*7)=0, "", INDIRECT("Sheet2!P" &amp; 9 + (ROW(P38)-ROW($C$4))*7))</f>
        <v/>
      </c>
    </row>
    <row r="39" spans="2:15" ht="18.75" x14ac:dyDescent="0.25">
      <c r="B39" s="1" t="s">
        <v>40</v>
      </c>
      <c r="C39" s="19" t="str" cm="1">
        <f t="array" aca="1" ref="C39" ca="1">IF(INDIRECT("Sheet2!D" &amp; 9 + (ROW(C39)-ROW($C$4))*7)=0, "", INDIRECT("Sheet2!D" &amp; 9 + (ROW(C39)-ROW($C$4))*7))</f>
        <v/>
      </c>
      <c r="D39" s="19" t="str" cm="1">
        <f t="array" aca="1" ref="D39" ca="1">IF(INDIRECT("Sheet2!E" &amp; 9 + (ROW(D39)-ROW($C$4))*7)=0, "", INDIRECT("Sheet2!E" &amp; 9 + (ROW(D39)-ROW($C$4))*7))</f>
        <v/>
      </c>
      <c r="E39" s="19" t="str" cm="1">
        <f t="array" aca="1" ref="E39" ca="1">IF(INDIRECT("Sheet2!F" &amp; 9 + (ROW(E39)-ROW($C$4))*7)=0, "", INDIRECT("Sheet2!F" &amp; 9 + (ROW(E39)-ROW($C$4))*7))</f>
        <v/>
      </c>
      <c r="F39" s="19" t="str" cm="1">
        <f t="array" aca="1" ref="F39" ca="1">IF(INDIRECT("Sheet2!G" &amp; 9 + (ROW(F39)-ROW($C$4))*7)=0, "", INDIRECT("Sheet2!G" &amp; 9 + (ROW(F39)-ROW($C$4))*7))</f>
        <v/>
      </c>
      <c r="G39" s="19" t="str" cm="1">
        <f t="array" aca="1" ref="G39" ca="1">IF(INDIRECT("Sheet2!H" &amp; 9 + (ROW(G39)-ROW($C$4))*7)=0, "", INDIRECT("Sheet2!H" &amp; 9 + (ROW(G39)-ROW($C$4))*7))</f>
        <v/>
      </c>
      <c r="H39" s="19" t="str" cm="1">
        <f t="array" aca="1" ref="H39" ca="1">IF(INDIRECT("Sheet2!I" &amp; 9 + (ROW(H39)-ROW($C$4))*7)=0, "", INDIRECT("Sheet2!I" &amp; 9 + (ROW(H39)-ROW($C$4))*7))</f>
        <v/>
      </c>
      <c r="I39" s="19" t="str" cm="1">
        <f t="array" aca="1" ref="I39" ca="1">IF(INDIRECT("Sheet2!J" &amp; 9 + (ROW(I39)-ROW($C$4))*7)=0, "", INDIRECT("Sheet2!J" &amp; 9 + (ROW(I39)-ROW($C$4))*7))</f>
        <v/>
      </c>
      <c r="J39" s="19" t="str" cm="1">
        <f t="array" aca="1" ref="J39" ca="1">IF(INDIRECT("Sheet2!K" &amp; 9 + (ROW(J39)-ROW($C$4))*7)=0, "", INDIRECT("Sheet2!K" &amp; 9 + (ROW(J39)-ROW($C$4))*7))</f>
        <v/>
      </c>
      <c r="K39" s="19" t="str" cm="1">
        <f t="array" aca="1" ref="K39" ca="1">IF(INDIRECT("Sheet2!L" &amp; 9 + (ROW(K39)-ROW($C$4))*7)=0, "", INDIRECT("Sheet2!L" &amp; 9 + (ROW(K39)-ROW($C$4))*7))</f>
        <v/>
      </c>
      <c r="L39" s="19" t="str" cm="1">
        <f t="array" aca="1" ref="L39" ca="1">IF(INDIRECT("Sheet2!M" &amp; 9 + (ROW(L39)-ROW($C$4))*7)=0, "", INDIRECT("Sheet2!M" &amp; 9 + (ROW(L39)-ROW($C$4))*7))</f>
        <v/>
      </c>
      <c r="M39" s="19" t="str" cm="1">
        <f t="array" aca="1" ref="M39" ca="1">IF(INDIRECT("Sheet2!N" &amp; 9 + (ROW(M39)-ROW($C$4))*7)=0, "", INDIRECT("Sheet2!N" &amp; 9 + (ROW(M39)-ROW($C$4))*7))</f>
        <v/>
      </c>
      <c r="N39" s="19" t="str" cm="1">
        <f t="array" aca="1" ref="N39" ca="1">IF(INDIRECT("Sheet2!O" &amp; 9 + (ROW(O39)-ROW($C$4))*7)=0, "", INDIRECT("Sheet2!O" &amp; 9 + (ROW(O39)-ROW($C$4))*7))</f>
        <v/>
      </c>
      <c r="O39" s="19" t="str" cm="1">
        <f t="array" aca="1" ref="O39" ca="1">IF(INDIRECT("Sheet2!P" &amp; 9 + (ROW(P39)-ROW($C$4))*7)=0, "", INDIRECT("Sheet2!P" &amp; 9 + (ROW(P39)-ROW($C$4))*7))</f>
        <v/>
      </c>
    </row>
    <row r="40" spans="2:15" ht="18.75" x14ac:dyDescent="0.25">
      <c r="B40" s="1" t="s">
        <v>41</v>
      </c>
      <c r="C40" s="19" t="str" cm="1">
        <f t="array" aca="1" ref="C40" ca="1">IF(INDIRECT("Sheet2!D" &amp; 9 + (ROW(C40)-ROW($C$4))*7)=0, "", INDIRECT("Sheet2!D" &amp; 9 + (ROW(C40)-ROW($C$4))*7))</f>
        <v/>
      </c>
      <c r="D40" s="19" t="str" cm="1">
        <f t="array" aca="1" ref="D40" ca="1">IF(INDIRECT("Sheet2!E" &amp; 9 + (ROW(D40)-ROW($C$4))*7)=0, "", INDIRECT("Sheet2!E" &amp; 9 + (ROW(D40)-ROW($C$4))*7))</f>
        <v/>
      </c>
      <c r="E40" s="19" t="str" cm="1">
        <f t="array" aca="1" ref="E40" ca="1">IF(INDIRECT("Sheet2!F" &amp; 9 + (ROW(E40)-ROW($C$4))*7)=0, "", INDIRECT("Sheet2!F" &amp; 9 + (ROW(E40)-ROW($C$4))*7))</f>
        <v/>
      </c>
      <c r="F40" s="19" t="str" cm="1">
        <f t="array" aca="1" ref="F40" ca="1">IF(INDIRECT("Sheet2!G" &amp; 9 + (ROW(F40)-ROW($C$4))*7)=0, "", INDIRECT("Sheet2!G" &amp; 9 + (ROW(F40)-ROW($C$4))*7))</f>
        <v/>
      </c>
      <c r="G40" s="19" t="str" cm="1">
        <f t="array" aca="1" ref="G40" ca="1">IF(INDIRECT("Sheet2!H" &amp; 9 + (ROW(G40)-ROW($C$4))*7)=0, "", INDIRECT("Sheet2!H" &amp; 9 + (ROW(G40)-ROW($C$4))*7))</f>
        <v/>
      </c>
      <c r="H40" s="19" t="str" cm="1">
        <f t="array" aca="1" ref="H40" ca="1">IF(INDIRECT("Sheet2!I" &amp; 9 + (ROW(H40)-ROW($C$4))*7)=0, "", INDIRECT("Sheet2!I" &amp; 9 + (ROW(H40)-ROW($C$4))*7))</f>
        <v/>
      </c>
      <c r="I40" s="19" t="str" cm="1">
        <f t="array" aca="1" ref="I40" ca="1">IF(INDIRECT("Sheet2!J" &amp; 9 + (ROW(I40)-ROW($C$4))*7)=0, "", INDIRECT("Sheet2!J" &amp; 9 + (ROW(I40)-ROW($C$4))*7))</f>
        <v/>
      </c>
      <c r="J40" s="19" t="str" cm="1">
        <f t="array" aca="1" ref="J40" ca="1">IF(INDIRECT("Sheet2!K" &amp; 9 + (ROW(J40)-ROW($C$4))*7)=0, "", INDIRECT("Sheet2!K" &amp; 9 + (ROW(J40)-ROW($C$4))*7))</f>
        <v/>
      </c>
      <c r="K40" s="19" t="str" cm="1">
        <f t="array" aca="1" ref="K40" ca="1">IF(INDIRECT("Sheet2!L" &amp; 9 + (ROW(K40)-ROW($C$4))*7)=0, "", INDIRECT("Sheet2!L" &amp; 9 + (ROW(K40)-ROW($C$4))*7))</f>
        <v/>
      </c>
      <c r="L40" s="19" t="str" cm="1">
        <f t="array" aca="1" ref="L40" ca="1">IF(INDIRECT("Sheet2!M" &amp; 9 + (ROW(L40)-ROW($C$4))*7)=0, "", INDIRECT("Sheet2!M" &amp; 9 + (ROW(L40)-ROW($C$4))*7))</f>
        <v/>
      </c>
      <c r="M40" s="19" t="str" cm="1">
        <f t="array" aca="1" ref="M40" ca="1">IF(INDIRECT("Sheet2!N" &amp; 9 + (ROW(M40)-ROW($C$4))*7)=0, "", INDIRECT("Sheet2!N" &amp; 9 + (ROW(M40)-ROW($C$4))*7))</f>
        <v/>
      </c>
      <c r="N40" s="19" t="str" cm="1">
        <f t="array" aca="1" ref="N40" ca="1">IF(INDIRECT("Sheet2!O" &amp; 9 + (ROW(O40)-ROW($C$4))*7)=0, "", INDIRECT("Sheet2!O" &amp; 9 + (ROW(O40)-ROW($C$4))*7))</f>
        <v/>
      </c>
      <c r="O40" s="19" t="str" cm="1">
        <f t="array" aca="1" ref="O40" ca="1">IF(INDIRECT("Sheet2!P" &amp; 9 + (ROW(P40)-ROW($C$4))*7)=0, "", INDIRECT("Sheet2!P" &amp; 9 + (ROW(P40)-ROW($C$4))*7))</f>
        <v/>
      </c>
    </row>
    <row r="41" spans="2:15" ht="18.75" x14ac:dyDescent="0.25">
      <c r="B41" s="1" t="s">
        <v>42</v>
      </c>
      <c r="C41" s="19" t="str" cm="1">
        <f t="array" aca="1" ref="C41" ca="1">IF(INDIRECT("Sheet2!D" &amp; 9 + (ROW(C41)-ROW($C$4))*7)=0, "", INDIRECT("Sheet2!D" &amp; 9 + (ROW(C41)-ROW($C$4))*7))</f>
        <v/>
      </c>
      <c r="D41" s="19" t="str" cm="1">
        <f t="array" aca="1" ref="D41" ca="1">IF(INDIRECT("Sheet2!E" &amp; 9 + (ROW(D41)-ROW($C$4))*7)=0, "", INDIRECT("Sheet2!E" &amp; 9 + (ROW(D41)-ROW($C$4))*7))</f>
        <v/>
      </c>
      <c r="E41" s="19" t="str" cm="1">
        <f t="array" aca="1" ref="E41" ca="1">IF(INDIRECT("Sheet2!F" &amp; 9 + (ROW(E41)-ROW($C$4))*7)=0, "", INDIRECT("Sheet2!F" &amp; 9 + (ROW(E41)-ROW($C$4))*7))</f>
        <v/>
      </c>
      <c r="F41" s="19" t="str" cm="1">
        <f t="array" aca="1" ref="F41" ca="1">IF(INDIRECT("Sheet2!G" &amp; 9 + (ROW(F41)-ROW($C$4))*7)=0, "", INDIRECT("Sheet2!G" &amp; 9 + (ROW(F41)-ROW($C$4))*7))</f>
        <v/>
      </c>
      <c r="G41" s="19" t="str" cm="1">
        <f t="array" aca="1" ref="G41" ca="1">IF(INDIRECT("Sheet2!H" &amp; 9 + (ROW(G41)-ROW($C$4))*7)=0, "", INDIRECT("Sheet2!H" &amp; 9 + (ROW(G41)-ROW($C$4))*7))</f>
        <v/>
      </c>
      <c r="H41" s="19" t="str" cm="1">
        <f t="array" aca="1" ref="H41" ca="1">IF(INDIRECT("Sheet2!I" &amp; 9 + (ROW(H41)-ROW($C$4))*7)=0, "", INDIRECT("Sheet2!I" &amp; 9 + (ROW(H41)-ROW($C$4))*7))</f>
        <v/>
      </c>
      <c r="I41" s="19" t="str" cm="1">
        <f t="array" aca="1" ref="I41" ca="1">IF(INDIRECT("Sheet2!J" &amp; 9 + (ROW(I41)-ROW($C$4))*7)=0, "", INDIRECT("Sheet2!J" &amp; 9 + (ROW(I41)-ROW($C$4))*7))</f>
        <v/>
      </c>
      <c r="J41" s="19" t="str" cm="1">
        <f t="array" aca="1" ref="J41" ca="1">IF(INDIRECT("Sheet2!K" &amp; 9 + (ROW(J41)-ROW($C$4))*7)=0, "", INDIRECT("Sheet2!K" &amp; 9 + (ROW(J41)-ROW($C$4))*7))</f>
        <v/>
      </c>
      <c r="K41" s="19" t="str" cm="1">
        <f t="array" aca="1" ref="K41" ca="1">IF(INDIRECT("Sheet2!L" &amp; 9 + (ROW(K41)-ROW($C$4))*7)=0, "", INDIRECT("Sheet2!L" &amp; 9 + (ROW(K41)-ROW($C$4))*7))</f>
        <v/>
      </c>
      <c r="L41" s="19" t="str" cm="1">
        <f t="array" aca="1" ref="L41" ca="1">IF(INDIRECT("Sheet2!M" &amp; 9 + (ROW(L41)-ROW($C$4))*7)=0, "", INDIRECT("Sheet2!M" &amp; 9 + (ROW(L41)-ROW($C$4))*7))</f>
        <v/>
      </c>
      <c r="M41" s="19" t="str" cm="1">
        <f t="array" aca="1" ref="M41" ca="1">IF(INDIRECT("Sheet2!N" &amp; 9 + (ROW(M41)-ROW($C$4))*7)=0, "", INDIRECT("Sheet2!N" &amp; 9 + (ROW(M41)-ROW($C$4))*7))</f>
        <v/>
      </c>
      <c r="N41" s="19" t="str" cm="1">
        <f t="array" aca="1" ref="N41" ca="1">IF(INDIRECT("Sheet2!O" &amp; 9 + (ROW(O41)-ROW($C$4))*7)=0, "", INDIRECT("Sheet2!O" &amp; 9 + (ROW(O41)-ROW($C$4))*7))</f>
        <v/>
      </c>
      <c r="O41" s="19" t="str" cm="1">
        <f t="array" aca="1" ref="O41" ca="1">IF(INDIRECT("Sheet2!P" &amp; 9 + (ROW(P41)-ROW($C$4))*7)=0, "", INDIRECT("Sheet2!P" &amp; 9 + (ROW(P41)-ROW($C$4))*7))</f>
        <v/>
      </c>
    </row>
    <row r="42" spans="2:15" ht="18.75" x14ac:dyDescent="0.25">
      <c r="B42" s="1" t="s">
        <v>96</v>
      </c>
      <c r="C42" s="33">
        <f t="shared" ref="C42:M42" ca="1" si="0">SUM(C4:C41)</f>
        <v>0</v>
      </c>
      <c r="D42" s="33">
        <f t="shared" ca="1" si="0"/>
        <v>0</v>
      </c>
      <c r="E42" s="33">
        <f t="shared" ca="1" si="0"/>
        <v>0</v>
      </c>
      <c r="F42" s="33">
        <f t="shared" ca="1" si="0"/>
        <v>0</v>
      </c>
      <c r="G42" s="33">
        <f t="shared" ca="1" si="0"/>
        <v>0</v>
      </c>
      <c r="H42" s="33">
        <f t="shared" ca="1" si="0"/>
        <v>0</v>
      </c>
      <c r="I42" s="33">
        <f t="shared" ca="1" si="0"/>
        <v>0</v>
      </c>
      <c r="J42" s="33">
        <f t="shared" ca="1" si="0"/>
        <v>0</v>
      </c>
      <c r="K42" s="33">
        <f t="shared" ca="1" si="0"/>
        <v>0</v>
      </c>
      <c r="L42" s="33">
        <f t="shared" ca="1" si="0"/>
        <v>0</v>
      </c>
      <c r="M42" s="33">
        <f t="shared" ca="1" si="0"/>
        <v>0</v>
      </c>
      <c r="N42" s="33">
        <f t="shared" ref="N42:O42" ca="1" si="1">SUM(N4:N41)</f>
        <v>0</v>
      </c>
      <c r="O42" s="33">
        <f t="shared" ca="1" si="1"/>
        <v>0</v>
      </c>
    </row>
    <row r="43" spans="2:15" ht="18.75" x14ac:dyDescent="0.25">
      <c r="B43" s="1" t="s">
        <v>55</v>
      </c>
      <c r="C43" s="1">
        <f ca="1">'Extra Results'!C89</f>
        <v>0</v>
      </c>
      <c r="D43" s="1">
        <f ca="1">'Extra Results'!D89</f>
        <v>0</v>
      </c>
      <c r="E43" s="1">
        <f ca="1">'Extra Results'!E89</f>
        <v>0</v>
      </c>
      <c r="F43" s="1">
        <f ca="1">'Extra Results'!F89</f>
        <v>0</v>
      </c>
      <c r="G43" s="1">
        <f ca="1">'Extra Results'!G89</f>
        <v>0</v>
      </c>
      <c r="H43" s="1">
        <f ca="1">'Extra Results'!H89</f>
        <v>0</v>
      </c>
      <c r="I43" s="1">
        <f ca="1">'Extra Results'!I89</f>
        <v>0</v>
      </c>
      <c r="J43" s="1">
        <f ca="1">'Extra Results'!J89</f>
        <v>0</v>
      </c>
      <c r="K43" s="1">
        <f ca="1">'Extra Results'!K89</f>
        <v>0</v>
      </c>
      <c r="L43" s="1">
        <f ca="1">'Extra Results'!L89</f>
        <v>0</v>
      </c>
      <c r="M43" s="1">
        <f ca="1">'Extra Results'!M89</f>
        <v>0</v>
      </c>
      <c r="N43" s="1">
        <f ca="1">'Extra Results'!N89</f>
        <v>0</v>
      </c>
      <c r="O43" s="1">
        <f ca="1">'Extra Results'!O89</f>
        <v>0</v>
      </c>
    </row>
    <row r="49" spans="20:21" x14ac:dyDescent="0.25">
      <c r="T49" s="30"/>
      <c r="U49" s="30"/>
    </row>
    <row r="50" spans="20:21" x14ac:dyDescent="0.25">
      <c r="T50" s="30" cm="1">
        <f t="array" aca="1" ref="T50:T60" ca="1">TRANSPOSE(C42:M42)</f>
        <v>0</v>
      </c>
      <c r="U50" s="30"/>
    </row>
    <row r="51" spans="20:21" x14ac:dyDescent="0.25">
      <c r="T51" s="30">
        <f ca="1"/>
        <v>0</v>
      </c>
      <c r="U51" s="30"/>
    </row>
    <row r="52" spans="20:21" x14ac:dyDescent="0.25">
      <c r="T52" s="30">
        <f ca="1"/>
        <v>0</v>
      </c>
      <c r="U52" s="30"/>
    </row>
    <row r="53" spans="20:21" x14ac:dyDescent="0.25">
      <c r="T53" s="30">
        <f ca="1"/>
        <v>0</v>
      </c>
      <c r="U53" s="30"/>
    </row>
    <row r="54" spans="20:21" x14ac:dyDescent="0.25">
      <c r="T54" s="30">
        <f ca="1"/>
        <v>0</v>
      </c>
      <c r="U54" s="30"/>
    </row>
    <row r="55" spans="20:21" x14ac:dyDescent="0.25">
      <c r="T55" s="30">
        <f ca="1"/>
        <v>0</v>
      </c>
      <c r="U55" s="30"/>
    </row>
    <row r="56" spans="20:21" x14ac:dyDescent="0.25">
      <c r="T56" s="30">
        <f ca="1"/>
        <v>0</v>
      </c>
      <c r="U56" s="30"/>
    </row>
    <row r="57" spans="20:21" x14ac:dyDescent="0.25">
      <c r="T57" s="30">
        <f ca="1"/>
        <v>0</v>
      </c>
      <c r="U57" s="30"/>
    </row>
    <row r="58" spans="20:21" x14ac:dyDescent="0.25">
      <c r="T58" s="30">
        <f ca="1"/>
        <v>0</v>
      </c>
      <c r="U58" s="30"/>
    </row>
    <row r="59" spans="20:21" x14ac:dyDescent="0.25">
      <c r="T59" s="30">
        <f ca="1"/>
        <v>0</v>
      </c>
      <c r="U59" s="30"/>
    </row>
    <row r="60" spans="20:21" x14ac:dyDescent="0.25">
      <c r="T60" s="30">
        <f ca="1"/>
        <v>0</v>
      </c>
      <c r="U60" s="30"/>
    </row>
    <row r="61" spans="20:21" x14ac:dyDescent="0.25">
      <c r="T61" s="30"/>
      <c r="U61" s="30"/>
    </row>
  </sheetData>
  <sortState xmlns:xlrd2="http://schemas.microsoft.com/office/spreadsheetml/2017/richdata2" ref="U4:U13">
    <sortCondition ref="U4:U1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CCA1-9181-4415-8A17-EAD3268B00A4}">
  <dimension ref="B1:AE301"/>
  <sheetViews>
    <sheetView zoomScale="70" zoomScaleNormal="70" workbookViewId="0">
      <selection activeCell="AE32" sqref="AE32"/>
    </sheetView>
  </sheetViews>
  <sheetFormatPr defaultRowHeight="15" x14ac:dyDescent="0.25"/>
  <cols>
    <col min="1" max="1" width="4.28515625" customWidth="1"/>
    <col min="2" max="2" width="9.140625" customWidth="1"/>
    <col min="3" max="3" width="20.140625" customWidth="1"/>
    <col min="4" max="4" width="9.7109375" customWidth="1"/>
    <col min="5" max="5" width="12.85546875" customWidth="1"/>
    <col min="6" max="10" width="9.7109375" customWidth="1"/>
    <col min="11" max="11" width="11.140625" customWidth="1"/>
    <col min="12" max="14" width="9.7109375" customWidth="1"/>
    <col min="15" max="15" width="9.28515625" customWidth="1"/>
    <col min="16" max="16" width="10.5703125" customWidth="1"/>
    <col min="17" max="17" width="9.7109375" customWidth="1"/>
    <col min="18" max="18" width="20.140625" customWidth="1"/>
    <col min="19" max="19" width="9.7109375" customWidth="1"/>
    <col min="20" max="20" width="11.7109375" customWidth="1"/>
    <col min="21" max="25" width="9.7109375" customWidth="1"/>
    <col min="26" max="26" width="12.28515625" customWidth="1"/>
  </cols>
  <sheetData>
    <row r="1" spans="2:31" ht="18.75" x14ac:dyDescent="0.25">
      <c r="C1" s="1" t="s">
        <v>44</v>
      </c>
      <c r="D1" s="2" t="s">
        <v>46</v>
      </c>
    </row>
    <row r="2" spans="2:31" ht="18.75" x14ac:dyDescent="0.25">
      <c r="C2" s="1" t="s">
        <v>45</v>
      </c>
      <c r="D2" s="2" t="s">
        <v>47</v>
      </c>
    </row>
    <row r="3" spans="2:31" ht="18.75" x14ac:dyDescent="0.25">
      <c r="R3" s="22" t="s">
        <v>111</v>
      </c>
    </row>
    <row r="4" spans="2:31" ht="18.75" x14ac:dyDescent="0.25">
      <c r="B4" s="1" t="s">
        <v>52</v>
      </c>
      <c r="C4" s="1"/>
      <c r="D4" s="1" t="s">
        <v>0</v>
      </c>
      <c r="E4" s="1" t="s">
        <v>108</v>
      </c>
      <c r="F4" s="1" t="s">
        <v>3</v>
      </c>
      <c r="G4" s="1" t="s">
        <v>115</v>
      </c>
      <c r="H4" s="1" t="s">
        <v>53</v>
      </c>
      <c r="I4" s="1" t="s">
        <v>109</v>
      </c>
      <c r="J4" s="1" t="s">
        <v>2</v>
      </c>
      <c r="K4" s="1" t="s">
        <v>5</v>
      </c>
      <c r="L4" s="1" t="s">
        <v>54</v>
      </c>
      <c r="M4" s="1" t="s">
        <v>114</v>
      </c>
      <c r="N4" s="1" t="s">
        <v>112</v>
      </c>
      <c r="O4" s="1" t="s">
        <v>110</v>
      </c>
      <c r="P4" s="1" t="s">
        <v>116</v>
      </c>
      <c r="Q4" s="22" t="s">
        <v>56</v>
      </c>
      <c r="R4" s="22"/>
      <c r="S4" s="22" t="s">
        <v>0</v>
      </c>
      <c r="T4" s="22" t="s">
        <v>108</v>
      </c>
      <c r="U4" s="22" t="s">
        <v>3</v>
      </c>
      <c r="V4" s="22" t="s">
        <v>115</v>
      </c>
      <c r="W4" s="22" t="s">
        <v>53</v>
      </c>
      <c r="X4" s="22" t="s">
        <v>109</v>
      </c>
      <c r="Y4" s="22" t="s">
        <v>2</v>
      </c>
      <c r="Z4" s="22" t="s">
        <v>5</v>
      </c>
      <c r="AA4" s="22" t="s">
        <v>54</v>
      </c>
      <c r="AB4" s="22" t="s">
        <v>114</v>
      </c>
      <c r="AC4" s="22" t="s">
        <v>112</v>
      </c>
      <c r="AD4" s="22" t="s">
        <v>110</v>
      </c>
      <c r="AE4" s="22" t="s">
        <v>116</v>
      </c>
    </row>
    <row r="5" spans="2:31" ht="18.75" x14ac:dyDescent="0.25">
      <c r="B5" s="16"/>
      <c r="C5" s="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6"/>
      <c r="R5" s="22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2:31" ht="18.75" x14ac:dyDescent="0.25">
      <c r="B6" s="16"/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16"/>
      <c r="R6" s="22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2:31" ht="18.75" x14ac:dyDescent="0.25">
      <c r="B7" s="16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6"/>
      <c r="R7" s="22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2:31" ht="18.75" x14ac:dyDescent="0.25">
      <c r="B8" s="16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6"/>
      <c r="R8" s="22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2:31" ht="19.5" thickBot="1" x14ac:dyDescent="0.3">
      <c r="C9" s="21" t="s">
        <v>43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23" t="s">
        <v>43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2:31" ht="19.5" thickBot="1" x14ac:dyDescent="0.3">
      <c r="C10" s="20" t="s">
        <v>55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R10" s="24" t="s">
        <v>55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spans="2:31" ht="18.75" x14ac:dyDescent="0.25">
      <c r="B11" s="1" t="s">
        <v>6</v>
      </c>
      <c r="C11" s="1"/>
      <c r="D11" s="1" t="s">
        <v>0</v>
      </c>
      <c r="E11" s="1" t="s">
        <v>108</v>
      </c>
      <c r="F11" s="1" t="s">
        <v>3</v>
      </c>
      <c r="G11" s="1" t="s">
        <v>115</v>
      </c>
      <c r="H11" s="1" t="s">
        <v>53</v>
      </c>
      <c r="I11" s="1" t="s">
        <v>109</v>
      </c>
      <c r="J11" s="1" t="s">
        <v>2</v>
      </c>
      <c r="K11" s="1" t="s">
        <v>5</v>
      </c>
      <c r="L11" s="1" t="s">
        <v>54</v>
      </c>
      <c r="M11" s="1" t="s">
        <v>114</v>
      </c>
      <c r="N11" s="1" t="s">
        <v>112</v>
      </c>
      <c r="O11" s="1" t="s">
        <v>110</v>
      </c>
      <c r="P11" s="1" t="s">
        <v>116</v>
      </c>
      <c r="Q11" s="22" t="s">
        <v>57</v>
      </c>
      <c r="R11" s="22"/>
      <c r="S11" s="22" t="s">
        <v>0</v>
      </c>
      <c r="T11" s="22" t="s">
        <v>108</v>
      </c>
      <c r="U11" s="22" t="s">
        <v>3</v>
      </c>
      <c r="V11" s="22" t="s">
        <v>115</v>
      </c>
      <c r="W11" s="22" t="s">
        <v>53</v>
      </c>
      <c r="X11" s="22" t="s">
        <v>109</v>
      </c>
      <c r="Y11" s="22" t="s">
        <v>2</v>
      </c>
      <c r="Z11" s="22" t="s">
        <v>5</v>
      </c>
      <c r="AA11" s="22" t="s">
        <v>54</v>
      </c>
      <c r="AB11" s="22" t="s">
        <v>114</v>
      </c>
      <c r="AC11" s="22" t="s">
        <v>112</v>
      </c>
      <c r="AD11" s="22" t="s">
        <v>110</v>
      </c>
      <c r="AE11" s="22" t="s">
        <v>116</v>
      </c>
    </row>
    <row r="12" spans="2:31" ht="18.75" x14ac:dyDescent="0.25">
      <c r="B12" s="16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6"/>
      <c r="R12" s="22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2:31" ht="18.75" x14ac:dyDescent="0.25">
      <c r="B13" s="16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6"/>
      <c r="R13" s="22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2:31" ht="18.75" x14ac:dyDescent="0.25">
      <c r="B14" s="16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6"/>
      <c r="R14" s="22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2:31" ht="18.75" x14ac:dyDescent="0.25">
      <c r="B15" s="16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16"/>
      <c r="R15" s="22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2:31" ht="19.5" thickBot="1" x14ac:dyDescent="0.3">
      <c r="C16" s="21" t="s">
        <v>43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R16" s="23" t="s">
        <v>43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2:31" ht="19.5" thickBot="1" x14ac:dyDescent="0.3">
      <c r="C17" s="20" t="s">
        <v>55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R17" s="24" t="s">
        <v>55</v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spans="2:31" ht="18.75" x14ac:dyDescent="0.25">
      <c r="B18" s="1" t="s">
        <v>7</v>
      </c>
      <c r="C18" s="1"/>
      <c r="D18" s="1" t="s">
        <v>0</v>
      </c>
      <c r="E18" s="1" t="s">
        <v>108</v>
      </c>
      <c r="F18" s="1" t="s">
        <v>3</v>
      </c>
      <c r="G18" s="1" t="s">
        <v>115</v>
      </c>
      <c r="H18" s="1" t="s">
        <v>53</v>
      </c>
      <c r="I18" s="1" t="s">
        <v>109</v>
      </c>
      <c r="J18" s="1" t="s">
        <v>2</v>
      </c>
      <c r="K18" s="1" t="s">
        <v>5</v>
      </c>
      <c r="L18" s="1" t="s">
        <v>54</v>
      </c>
      <c r="M18" s="1" t="s">
        <v>114</v>
      </c>
      <c r="N18" s="1" t="s">
        <v>112</v>
      </c>
      <c r="O18" s="1" t="s">
        <v>110</v>
      </c>
      <c r="P18" s="1" t="s">
        <v>116</v>
      </c>
      <c r="Q18" s="22" t="s">
        <v>58</v>
      </c>
      <c r="R18" s="22"/>
      <c r="S18" s="22" t="s">
        <v>0</v>
      </c>
      <c r="T18" s="22" t="s">
        <v>108</v>
      </c>
      <c r="U18" s="22" t="s">
        <v>3</v>
      </c>
      <c r="V18" s="22" t="s">
        <v>115</v>
      </c>
      <c r="W18" s="22" t="s">
        <v>53</v>
      </c>
      <c r="X18" s="22" t="s">
        <v>109</v>
      </c>
      <c r="Y18" s="22" t="s">
        <v>2</v>
      </c>
      <c r="Z18" s="22" t="s">
        <v>5</v>
      </c>
      <c r="AA18" s="22" t="s">
        <v>54</v>
      </c>
      <c r="AB18" s="22" t="s">
        <v>114</v>
      </c>
      <c r="AC18" s="22" t="s">
        <v>112</v>
      </c>
      <c r="AD18" s="22" t="s">
        <v>110</v>
      </c>
      <c r="AE18" s="22" t="s">
        <v>116</v>
      </c>
    </row>
    <row r="19" spans="2:31" ht="18.75" x14ac:dyDescent="0.25">
      <c r="B19" s="16"/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6"/>
      <c r="R19" s="22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2:31" ht="18.75" x14ac:dyDescent="0.25">
      <c r="B20" s="16"/>
      <c r="C20" s="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6"/>
      <c r="R20" s="22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2:31" ht="18.75" x14ac:dyDescent="0.25">
      <c r="B21" s="16"/>
      <c r="C21" s="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6"/>
      <c r="R21" s="22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2:31" ht="18.75" x14ac:dyDescent="0.25">
      <c r="B22" s="16"/>
      <c r="C22" s="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16"/>
      <c r="R22" s="22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2:31" ht="19.5" thickBot="1" x14ac:dyDescent="0.3">
      <c r="C23" s="21" t="s">
        <v>43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R23" s="23" t="s">
        <v>43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2:31" ht="19.5" thickBot="1" x14ac:dyDescent="0.3">
      <c r="C24" s="20" t="s">
        <v>55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R24" s="24" t="s">
        <v>55</v>
      </c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 spans="2:31" ht="18.75" x14ac:dyDescent="0.25">
      <c r="B25" s="1" t="s">
        <v>8</v>
      </c>
      <c r="C25" s="1"/>
      <c r="D25" s="1" t="s">
        <v>0</v>
      </c>
      <c r="E25" s="1" t="s">
        <v>108</v>
      </c>
      <c r="F25" s="1" t="s">
        <v>3</v>
      </c>
      <c r="G25" s="1" t="s">
        <v>115</v>
      </c>
      <c r="H25" s="1" t="s">
        <v>53</v>
      </c>
      <c r="I25" s="1" t="s">
        <v>109</v>
      </c>
      <c r="J25" s="1" t="s">
        <v>2</v>
      </c>
      <c r="K25" s="1" t="s">
        <v>5</v>
      </c>
      <c r="L25" s="1" t="s">
        <v>54</v>
      </c>
      <c r="M25" s="1" t="s">
        <v>114</v>
      </c>
      <c r="N25" s="1" t="s">
        <v>112</v>
      </c>
      <c r="O25" s="1" t="s">
        <v>110</v>
      </c>
      <c r="P25" s="1" t="s">
        <v>116</v>
      </c>
      <c r="Q25" s="22" t="s">
        <v>59</v>
      </c>
      <c r="R25" s="22"/>
      <c r="S25" s="22" t="s">
        <v>0</v>
      </c>
      <c r="T25" s="22" t="s">
        <v>108</v>
      </c>
      <c r="U25" s="22" t="s">
        <v>3</v>
      </c>
      <c r="V25" s="22" t="s">
        <v>115</v>
      </c>
      <c r="W25" s="22" t="s">
        <v>53</v>
      </c>
      <c r="X25" s="22" t="s">
        <v>109</v>
      </c>
      <c r="Y25" s="22" t="s">
        <v>2</v>
      </c>
      <c r="Z25" s="22" t="s">
        <v>5</v>
      </c>
      <c r="AA25" s="22" t="s">
        <v>54</v>
      </c>
      <c r="AB25" s="22" t="s">
        <v>114</v>
      </c>
      <c r="AC25" s="22" t="s">
        <v>112</v>
      </c>
      <c r="AD25" s="22" t="s">
        <v>110</v>
      </c>
      <c r="AE25" s="22" t="s">
        <v>116</v>
      </c>
    </row>
    <row r="26" spans="2:31" ht="18.75" x14ac:dyDescent="0.25">
      <c r="B26" s="16"/>
      <c r="C26" s="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16"/>
      <c r="R26" s="22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2:31" ht="18.75" x14ac:dyDescent="0.25">
      <c r="B27" s="16"/>
      <c r="C27" s="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6"/>
      <c r="R27" s="22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2:31" ht="18.75" x14ac:dyDescent="0.25">
      <c r="B28" s="16"/>
      <c r="C28" s="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6"/>
      <c r="R28" s="22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2:31" ht="18.75" x14ac:dyDescent="0.25">
      <c r="B29" s="16"/>
      <c r="C29" s="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6"/>
      <c r="R29" s="22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2:31" ht="19.5" thickBot="1" x14ac:dyDescent="0.3">
      <c r="C30" s="21" t="s">
        <v>43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R30" s="23" t="s">
        <v>43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2:31" ht="19.5" thickBot="1" x14ac:dyDescent="0.3">
      <c r="C31" s="20" t="s">
        <v>55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R31" s="24" t="s">
        <v>55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 spans="2:31" ht="18.75" x14ac:dyDescent="0.25">
      <c r="B32" s="1" t="s">
        <v>9</v>
      </c>
      <c r="C32" s="1"/>
      <c r="D32" s="1" t="s">
        <v>0</v>
      </c>
      <c r="E32" s="1" t="s">
        <v>108</v>
      </c>
      <c r="F32" s="1" t="s">
        <v>3</v>
      </c>
      <c r="G32" s="1" t="s">
        <v>115</v>
      </c>
      <c r="H32" s="1" t="s">
        <v>53</v>
      </c>
      <c r="I32" s="1" t="s">
        <v>109</v>
      </c>
      <c r="J32" s="1" t="s">
        <v>2</v>
      </c>
      <c r="K32" s="1" t="s">
        <v>5</v>
      </c>
      <c r="L32" s="1" t="s">
        <v>54</v>
      </c>
      <c r="M32" s="1" t="s">
        <v>114</v>
      </c>
      <c r="N32" s="1" t="s">
        <v>112</v>
      </c>
      <c r="O32" s="1" t="s">
        <v>110</v>
      </c>
      <c r="P32" s="1" t="s">
        <v>116</v>
      </c>
      <c r="Q32" s="22" t="s">
        <v>60</v>
      </c>
      <c r="R32" s="22"/>
      <c r="S32" s="22" t="s">
        <v>0</v>
      </c>
      <c r="T32" s="22" t="s">
        <v>108</v>
      </c>
      <c r="U32" s="22" t="s">
        <v>3</v>
      </c>
      <c r="V32" s="22" t="s">
        <v>115</v>
      </c>
      <c r="W32" s="22" t="s">
        <v>53</v>
      </c>
      <c r="X32" s="22" t="s">
        <v>109</v>
      </c>
      <c r="Y32" s="22" t="s">
        <v>2</v>
      </c>
      <c r="Z32" s="22" t="s">
        <v>5</v>
      </c>
      <c r="AA32" s="22" t="s">
        <v>54</v>
      </c>
      <c r="AB32" s="22" t="s">
        <v>114</v>
      </c>
      <c r="AC32" s="22" t="s">
        <v>112</v>
      </c>
      <c r="AD32" s="22" t="s">
        <v>110</v>
      </c>
      <c r="AE32" s="22" t="s">
        <v>116</v>
      </c>
    </row>
    <row r="33" spans="2:31" ht="18.75" x14ac:dyDescent="0.25">
      <c r="B33" s="16"/>
      <c r="C33" s="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6"/>
      <c r="R33" s="22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2:31" ht="18.75" x14ac:dyDescent="0.25">
      <c r="B34" s="16"/>
      <c r="C34" s="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16"/>
      <c r="R34" s="22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2:31" ht="18.75" x14ac:dyDescent="0.25">
      <c r="B35" s="16"/>
      <c r="C35" s="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16"/>
      <c r="R35" s="22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2:31" ht="18.75" x14ac:dyDescent="0.25">
      <c r="B36" s="16"/>
      <c r="C36" s="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6"/>
      <c r="R36" s="22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2:31" ht="19.5" thickBot="1" x14ac:dyDescent="0.3">
      <c r="C37" s="21" t="s">
        <v>43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R37" s="23" t="s">
        <v>43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2:31" ht="19.5" thickBot="1" x14ac:dyDescent="0.3">
      <c r="C38" s="20" t="s">
        <v>55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R38" s="24" t="s">
        <v>55</v>
      </c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</row>
    <row r="39" spans="2:31" ht="18.75" x14ac:dyDescent="0.25">
      <c r="B39" s="1" t="s">
        <v>10</v>
      </c>
      <c r="C39" s="1"/>
      <c r="D39" s="1" t="s">
        <v>0</v>
      </c>
      <c r="E39" s="1" t="s">
        <v>108</v>
      </c>
      <c r="F39" s="1" t="s">
        <v>3</v>
      </c>
      <c r="G39" s="1" t="s">
        <v>115</v>
      </c>
      <c r="H39" s="1" t="s">
        <v>53</v>
      </c>
      <c r="I39" s="1" t="s">
        <v>109</v>
      </c>
      <c r="J39" s="1" t="s">
        <v>2</v>
      </c>
      <c r="K39" s="1" t="s">
        <v>5</v>
      </c>
      <c r="L39" s="1" t="s">
        <v>54</v>
      </c>
      <c r="M39" s="1" t="s">
        <v>114</v>
      </c>
      <c r="N39" s="1" t="s">
        <v>112</v>
      </c>
      <c r="O39" s="1" t="s">
        <v>110</v>
      </c>
      <c r="P39" s="1" t="s">
        <v>116</v>
      </c>
      <c r="Q39" s="22" t="s">
        <v>61</v>
      </c>
      <c r="R39" s="22"/>
      <c r="S39" s="22" t="s">
        <v>0</v>
      </c>
      <c r="T39" s="22" t="s">
        <v>108</v>
      </c>
      <c r="U39" s="22" t="s">
        <v>3</v>
      </c>
      <c r="V39" s="22" t="s">
        <v>115</v>
      </c>
      <c r="W39" s="22" t="s">
        <v>53</v>
      </c>
      <c r="X39" s="22" t="s">
        <v>109</v>
      </c>
      <c r="Y39" s="22" t="s">
        <v>2</v>
      </c>
      <c r="Z39" s="22" t="s">
        <v>5</v>
      </c>
      <c r="AA39" s="22" t="s">
        <v>54</v>
      </c>
      <c r="AB39" s="22" t="s">
        <v>114</v>
      </c>
      <c r="AC39" s="22" t="s">
        <v>112</v>
      </c>
      <c r="AD39" s="22" t="s">
        <v>110</v>
      </c>
      <c r="AE39" s="22" t="s">
        <v>116</v>
      </c>
    </row>
    <row r="40" spans="2:31" ht="18.75" x14ac:dyDescent="0.25">
      <c r="B40" s="16"/>
      <c r="C40" s="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6"/>
      <c r="R40" s="2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ht="18.75" x14ac:dyDescent="0.25">
      <c r="B41" s="16"/>
      <c r="C41" s="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16"/>
      <c r="R41" s="2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2:31" ht="18.75" x14ac:dyDescent="0.25">
      <c r="B42" s="16"/>
      <c r="C42" s="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6"/>
      <c r="R42" s="2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2:31" ht="18.75" x14ac:dyDescent="0.25">
      <c r="B43" s="16"/>
      <c r="C43" s="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6"/>
      <c r="R43" s="2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2:31" ht="19.5" thickBot="1" x14ac:dyDescent="0.3">
      <c r="C44" s="21" t="s">
        <v>43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R44" s="23" t="s">
        <v>43</v>
      </c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2:31" ht="19.5" thickBot="1" x14ac:dyDescent="0.3">
      <c r="C45" s="20" t="s">
        <v>55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R45" s="24" t="s">
        <v>55</v>
      </c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</row>
    <row r="46" spans="2:31" ht="18.75" x14ac:dyDescent="0.25">
      <c r="B46" s="1" t="s">
        <v>11</v>
      </c>
      <c r="C46" s="1"/>
      <c r="D46" s="1" t="s">
        <v>0</v>
      </c>
      <c r="E46" s="1" t="s">
        <v>108</v>
      </c>
      <c r="F46" s="1" t="s">
        <v>3</v>
      </c>
      <c r="G46" s="1" t="s">
        <v>115</v>
      </c>
      <c r="H46" s="1" t="s">
        <v>53</v>
      </c>
      <c r="I46" s="1" t="s">
        <v>109</v>
      </c>
      <c r="J46" s="1" t="s">
        <v>2</v>
      </c>
      <c r="K46" s="1" t="s">
        <v>5</v>
      </c>
      <c r="L46" s="1" t="s">
        <v>54</v>
      </c>
      <c r="M46" s="1" t="s">
        <v>114</v>
      </c>
      <c r="N46" s="1" t="s">
        <v>112</v>
      </c>
      <c r="O46" s="1" t="s">
        <v>110</v>
      </c>
      <c r="P46" s="1" t="s">
        <v>116</v>
      </c>
      <c r="Q46" s="22" t="s">
        <v>62</v>
      </c>
      <c r="R46" s="22"/>
      <c r="S46" s="22" t="s">
        <v>0</v>
      </c>
      <c r="T46" s="22" t="s">
        <v>108</v>
      </c>
      <c r="U46" s="22" t="s">
        <v>3</v>
      </c>
      <c r="V46" s="22" t="s">
        <v>115</v>
      </c>
      <c r="W46" s="22" t="s">
        <v>53</v>
      </c>
      <c r="X46" s="22" t="s">
        <v>109</v>
      </c>
      <c r="Y46" s="22" t="s">
        <v>2</v>
      </c>
      <c r="Z46" s="22" t="s">
        <v>5</v>
      </c>
      <c r="AA46" s="22" t="s">
        <v>54</v>
      </c>
      <c r="AB46" s="22" t="s">
        <v>114</v>
      </c>
      <c r="AC46" s="22" t="s">
        <v>112</v>
      </c>
      <c r="AD46" s="22" t="s">
        <v>110</v>
      </c>
      <c r="AE46" s="22" t="s">
        <v>116</v>
      </c>
    </row>
    <row r="47" spans="2:31" ht="18.75" x14ac:dyDescent="0.25">
      <c r="B47" s="16"/>
      <c r="C47" s="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6"/>
      <c r="R47" s="22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2:31" ht="18.75" x14ac:dyDescent="0.25">
      <c r="B48" s="16"/>
      <c r="C48" s="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6"/>
      <c r="R48" s="22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2:31" ht="18.75" x14ac:dyDescent="0.25">
      <c r="B49" s="16"/>
      <c r="C49" s="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16"/>
      <c r="R49" s="22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2:31" ht="18.75" x14ac:dyDescent="0.25">
      <c r="B50" s="16"/>
      <c r="C50" s="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16"/>
      <c r="R50" s="22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2:31" ht="19.5" thickBot="1" x14ac:dyDescent="0.3">
      <c r="C51" s="21" t="s">
        <v>43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R51" s="23" t="s">
        <v>43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2:31" ht="19.5" thickBot="1" x14ac:dyDescent="0.3">
      <c r="C52" s="20" t="s">
        <v>55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R52" s="24" t="s">
        <v>55</v>
      </c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</row>
    <row r="53" spans="2:31" ht="18.75" x14ac:dyDescent="0.25">
      <c r="B53" s="1" t="s">
        <v>12</v>
      </c>
      <c r="C53" s="1"/>
      <c r="D53" s="1" t="s">
        <v>0</v>
      </c>
      <c r="E53" s="1" t="s">
        <v>108</v>
      </c>
      <c r="F53" s="1" t="s">
        <v>3</v>
      </c>
      <c r="G53" s="1" t="s">
        <v>115</v>
      </c>
      <c r="H53" s="1" t="s">
        <v>53</v>
      </c>
      <c r="I53" s="1" t="s">
        <v>109</v>
      </c>
      <c r="J53" s="1" t="s">
        <v>2</v>
      </c>
      <c r="K53" s="1" t="s">
        <v>5</v>
      </c>
      <c r="L53" s="1" t="s">
        <v>54</v>
      </c>
      <c r="M53" s="1" t="s">
        <v>114</v>
      </c>
      <c r="N53" s="1" t="s">
        <v>112</v>
      </c>
      <c r="O53" s="1" t="s">
        <v>110</v>
      </c>
      <c r="P53" s="1" t="s">
        <v>116</v>
      </c>
      <c r="Q53" s="22" t="s">
        <v>63</v>
      </c>
      <c r="R53" s="22"/>
      <c r="S53" s="22" t="s">
        <v>0</v>
      </c>
      <c r="T53" s="22" t="s">
        <v>108</v>
      </c>
      <c r="U53" s="22" t="s">
        <v>3</v>
      </c>
      <c r="V53" s="22" t="s">
        <v>115</v>
      </c>
      <c r="W53" s="22" t="s">
        <v>53</v>
      </c>
      <c r="X53" s="22" t="s">
        <v>109</v>
      </c>
      <c r="Y53" s="22" t="s">
        <v>2</v>
      </c>
      <c r="Z53" s="22" t="s">
        <v>5</v>
      </c>
      <c r="AA53" s="22" t="s">
        <v>54</v>
      </c>
      <c r="AB53" s="22" t="s">
        <v>114</v>
      </c>
      <c r="AC53" s="22" t="s">
        <v>112</v>
      </c>
      <c r="AD53" s="22" t="s">
        <v>110</v>
      </c>
      <c r="AE53" s="22" t="s">
        <v>116</v>
      </c>
    </row>
    <row r="54" spans="2:31" ht="18.75" x14ac:dyDescent="0.25">
      <c r="B54" s="16"/>
      <c r="C54" s="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6"/>
      <c r="R54" s="22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2:31" ht="18.75" x14ac:dyDescent="0.25">
      <c r="B55" s="16"/>
      <c r="C55" s="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6"/>
      <c r="R55" s="22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2:31" ht="18.75" x14ac:dyDescent="0.25">
      <c r="B56" s="16"/>
      <c r="C56" s="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6"/>
      <c r="R56" s="22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2:31" ht="18.75" x14ac:dyDescent="0.25">
      <c r="B57" s="16"/>
      <c r="C57" s="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6"/>
      <c r="R57" s="22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2:31" ht="19.5" thickBot="1" x14ac:dyDescent="0.3">
      <c r="C58" s="21" t="s">
        <v>43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R58" s="23" t="s">
        <v>43</v>
      </c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2:31" ht="19.5" thickBot="1" x14ac:dyDescent="0.3">
      <c r="C59" s="20" t="s">
        <v>55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R59" s="24" t="s">
        <v>55</v>
      </c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</row>
    <row r="60" spans="2:31" ht="18.75" x14ac:dyDescent="0.25">
      <c r="B60" s="1" t="s">
        <v>13</v>
      </c>
      <c r="C60" s="1"/>
      <c r="D60" s="1" t="s">
        <v>0</v>
      </c>
      <c r="E60" s="1" t="s">
        <v>108</v>
      </c>
      <c r="F60" s="1" t="s">
        <v>3</v>
      </c>
      <c r="G60" s="1" t="s">
        <v>115</v>
      </c>
      <c r="H60" s="1" t="s">
        <v>53</v>
      </c>
      <c r="I60" s="1" t="s">
        <v>109</v>
      </c>
      <c r="J60" s="1" t="s">
        <v>2</v>
      </c>
      <c r="K60" s="1" t="s">
        <v>5</v>
      </c>
      <c r="L60" s="1" t="s">
        <v>54</v>
      </c>
      <c r="M60" s="1" t="s">
        <v>114</v>
      </c>
      <c r="N60" s="1" t="s">
        <v>112</v>
      </c>
      <c r="O60" s="1" t="s">
        <v>110</v>
      </c>
      <c r="P60" s="1" t="s">
        <v>116</v>
      </c>
      <c r="Q60" s="22" t="s">
        <v>64</v>
      </c>
      <c r="R60" s="22"/>
      <c r="S60" s="22" t="s">
        <v>0</v>
      </c>
      <c r="T60" s="22" t="s">
        <v>108</v>
      </c>
      <c r="U60" s="22" t="s">
        <v>3</v>
      </c>
      <c r="V60" s="22" t="s">
        <v>115</v>
      </c>
      <c r="W60" s="22" t="s">
        <v>53</v>
      </c>
      <c r="X60" s="22" t="s">
        <v>109</v>
      </c>
      <c r="Y60" s="22" t="s">
        <v>2</v>
      </c>
      <c r="Z60" s="22" t="s">
        <v>5</v>
      </c>
      <c r="AA60" s="22" t="s">
        <v>54</v>
      </c>
      <c r="AB60" s="22" t="s">
        <v>114</v>
      </c>
      <c r="AC60" s="22" t="s">
        <v>112</v>
      </c>
      <c r="AD60" s="22" t="s">
        <v>110</v>
      </c>
      <c r="AE60" s="22" t="s">
        <v>116</v>
      </c>
    </row>
    <row r="61" spans="2:31" ht="18.75" x14ac:dyDescent="0.25">
      <c r="B61" s="16"/>
      <c r="C61" s="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6"/>
      <c r="R61" s="22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2:31" ht="18.75" x14ac:dyDescent="0.25">
      <c r="B62" s="16"/>
      <c r="C62" s="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6"/>
      <c r="R62" s="22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2:31" ht="18.75" x14ac:dyDescent="0.25">
      <c r="B63" s="16"/>
      <c r="C63" s="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6"/>
      <c r="R63" s="22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2:31" ht="18.75" x14ac:dyDescent="0.25">
      <c r="B64" s="16"/>
      <c r="C64" s="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6"/>
      <c r="R64" s="22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2:31" ht="19.5" thickBot="1" x14ac:dyDescent="0.3">
      <c r="C65" s="21" t="s">
        <v>43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R65" s="23" t="s">
        <v>43</v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2:31" ht="19.5" thickBot="1" x14ac:dyDescent="0.3">
      <c r="C66" s="20" t="s">
        <v>55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R66" s="24" t="s">
        <v>55</v>
      </c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 spans="2:31" ht="18.75" x14ac:dyDescent="0.25">
      <c r="B67" s="1" t="s">
        <v>14</v>
      </c>
      <c r="C67" s="1"/>
      <c r="D67" s="1" t="s">
        <v>0</v>
      </c>
      <c r="E67" s="1" t="s">
        <v>108</v>
      </c>
      <c r="F67" s="1" t="s">
        <v>3</v>
      </c>
      <c r="G67" s="1" t="s">
        <v>115</v>
      </c>
      <c r="H67" s="1" t="s">
        <v>53</v>
      </c>
      <c r="I67" s="1" t="s">
        <v>109</v>
      </c>
      <c r="J67" s="1" t="s">
        <v>2</v>
      </c>
      <c r="K67" s="1" t="s">
        <v>5</v>
      </c>
      <c r="L67" s="1" t="s">
        <v>54</v>
      </c>
      <c r="M67" s="1" t="s">
        <v>114</v>
      </c>
      <c r="N67" s="1" t="s">
        <v>112</v>
      </c>
      <c r="O67" s="1" t="s">
        <v>110</v>
      </c>
      <c r="P67" s="1" t="s">
        <v>116</v>
      </c>
      <c r="Q67" s="22" t="s">
        <v>65</v>
      </c>
      <c r="R67" s="22"/>
      <c r="S67" s="22" t="s">
        <v>0</v>
      </c>
      <c r="T67" s="22" t="s">
        <v>108</v>
      </c>
      <c r="U67" s="22" t="s">
        <v>3</v>
      </c>
      <c r="V67" s="22" t="s">
        <v>115</v>
      </c>
      <c r="W67" s="22" t="s">
        <v>53</v>
      </c>
      <c r="X67" s="22" t="s">
        <v>109</v>
      </c>
      <c r="Y67" s="22" t="s">
        <v>2</v>
      </c>
      <c r="Z67" s="22" t="s">
        <v>5</v>
      </c>
      <c r="AA67" s="22" t="s">
        <v>54</v>
      </c>
      <c r="AB67" s="22" t="s">
        <v>114</v>
      </c>
      <c r="AC67" s="22" t="s">
        <v>112</v>
      </c>
      <c r="AD67" s="22" t="s">
        <v>110</v>
      </c>
      <c r="AE67" s="22" t="s">
        <v>116</v>
      </c>
    </row>
    <row r="68" spans="2:31" ht="18.75" x14ac:dyDescent="0.25">
      <c r="B68" s="16"/>
      <c r="C68" s="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6"/>
      <c r="R68" s="22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2:31" ht="18.75" x14ac:dyDescent="0.25">
      <c r="B69" s="16"/>
      <c r="C69" s="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6"/>
      <c r="R69" s="22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2:31" ht="18.75" x14ac:dyDescent="0.25">
      <c r="B70" s="16"/>
      <c r="C70" s="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6"/>
      <c r="R70" s="22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2:31" ht="18.75" x14ac:dyDescent="0.25">
      <c r="B71" s="16"/>
      <c r="C71" s="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6"/>
      <c r="R71" s="22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2:31" ht="19.5" thickBot="1" x14ac:dyDescent="0.3">
      <c r="C72" s="21" t="s">
        <v>43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23" t="s">
        <v>43</v>
      </c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2:31" ht="19.5" thickBot="1" x14ac:dyDescent="0.3">
      <c r="C73" s="20" t="s">
        <v>55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R73" s="24" t="s">
        <v>55</v>
      </c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</row>
    <row r="74" spans="2:31" ht="18.75" x14ac:dyDescent="0.25">
      <c r="B74" s="1" t="s">
        <v>15</v>
      </c>
      <c r="C74" s="1"/>
      <c r="D74" s="1" t="s">
        <v>0</v>
      </c>
      <c r="E74" s="1" t="s">
        <v>108</v>
      </c>
      <c r="F74" s="1" t="s">
        <v>3</v>
      </c>
      <c r="G74" s="1" t="s">
        <v>115</v>
      </c>
      <c r="H74" s="1" t="s">
        <v>53</v>
      </c>
      <c r="I74" s="1" t="s">
        <v>109</v>
      </c>
      <c r="J74" s="1" t="s">
        <v>2</v>
      </c>
      <c r="K74" s="1" t="s">
        <v>5</v>
      </c>
      <c r="L74" s="1" t="s">
        <v>54</v>
      </c>
      <c r="M74" s="1" t="s">
        <v>114</v>
      </c>
      <c r="N74" s="1" t="s">
        <v>112</v>
      </c>
      <c r="O74" s="1" t="s">
        <v>110</v>
      </c>
      <c r="P74" s="1" t="s">
        <v>116</v>
      </c>
      <c r="Q74" s="22" t="s">
        <v>66</v>
      </c>
      <c r="R74" s="22"/>
      <c r="S74" s="22" t="s">
        <v>0</v>
      </c>
      <c r="T74" s="22" t="s">
        <v>108</v>
      </c>
      <c r="U74" s="22" t="s">
        <v>3</v>
      </c>
      <c r="V74" s="22" t="s">
        <v>115</v>
      </c>
      <c r="W74" s="22" t="s">
        <v>53</v>
      </c>
      <c r="X74" s="22" t="s">
        <v>109</v>
      </c>
      <c r="Y74" s="22" t="s">
        <v>2</v>
      </c>
      <c r="Z74" s="22" t="s">
        <v>5</v>
      </c>
      <c r="AA74" s="22" t="s">
        <v>54</v>
      </c>
      <c r="AB74" s="22" t="s">
        <v>114</v>
      </c>
      <c r="AC74" s="22" t="s">
        <v>112</v>
      </c>
      <c r="AD74" s="22" t="s">
        <v>110</v>
      </c>
      <c r="AE74" s="22" t="s">
        <v>116</v>
      </c>
    </row>
    <row r="75" spans="2:31" ht="18.75" x14ac:dyDescent="0.25">
      <c r="B75" s="16"/>
      <c r="C75" s="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6"/>
      <c r="R75" s="22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2:31" ht="18.75" x14ac:dyDescent="0.25">
      <c r="B76" s="16"/>
      <c r="C76" s="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6"/>
      <c r="R76" s="22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2:31" ht="18.75" x14ac:dyDescent="0.25">
      <c r="B77" s="16"/>
      <c r="C77" s="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6"/>
      <c r="R77" s="22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2:31" ht="18.75" x14ac:dyDescent="0.25">
      <c r="B78" s="16"/>
      <c r="C78" s="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6"/>
      <c r="R78" s="22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2:31" ht="19.5" thickBot="1" x14ac:dyDescent="0.3">
      <c r="C79" s="21" t="s">
        <v>43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R79" s="23" t="s">
        <v>43</v>
      </c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2:31" ht="19.5" thickBot="1" x14ac:dyDescent="0.3">
      <c r="C80" s="20" t="s">
        <v>55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R80" s="24" t="s">
        <v>55</v>
      </c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</row>
    <row r="81" spans="2:31" ht="18.75" x14ac:dyDescent="0.25">
      <c r="B81" s="1" t="s">
        <v>16</v>
      </c>
      <c r="C81" s="1"/>
      <c r="D81" s="1" t="s">
        <v>0</v>
      </c>
      <c r="E81" s="1" t="s">
        <v>108</v>
      </c>
      <c r="F81" s="1" t="s">
        <v>3</v>
      </c>
      <c r="G81" s="1" t="s">
        <v>115</v>
      </c>
      <c r="H81" s="1" t="s">
        <v>53</v>
      </c>
      <c r="I81" s="1" t="s">
        <v>109</v>
      </c>
      <c r="J81" s="1" t="s">
        <v>2</v>
      </c>
      <c r="K81" s="1" t="s">
        <v>5</v>
      </c>
      <c r="L81" s="1" t="s">
        <v>54</v>
      </c>
      <c r="M81" s="1" t="s">
        <v>114</v>
      </c>
      <c r="N81" s="1" t="s">
        <v>112</v>
      </c>
      <c r="O81" s="1" t="s">
        <v>110</v>
      </c>
      <c r="P81" s="1" t="s">
        <v>116</v>
      </c>
      <c r="Q81" s="22" t="s">
        <v>67</v>
      </c>
      <c r="R81" s="22"/>
      <c r="S81" s="22" t="s">
        <v>0</v>
      </c>
      <c r="T81" s="22" t="s">
        <v>108</v>
      </c>
      <c r="U81" s="22" t="s">
        <v>3</v>
      </c>
      <c r="V81" s="22" t="s">
        <v>115</v>
      </c>
      <c r="W81" s="22" t="s">
        <v>53</v>
      </c>
      <c r="X81" s="22" t="s">
        <v>109</v>
      </c>
      <c r="Y81" s="22" t="s">
        <v>2</v>
      </c>
      <c r="Z81" s="22" t="s">
        <v>5</v>
      </c>
      <c r="AA81" s="22" t="s">
        <v>54</v>
      </c>
      <c r="AB81" s="22" t="s">
        <v>114</v>
      </c>
      <c r="AC81" s="22" t="s">
        <v>112</v>
      </c>
      <c r="AD81" s="22" t="s">
        <v>110</v>
      </c>
      <c r="AE81" s="22" t="s">
        <v>116</v>
      </c>
    </row>
    <row r="82" spans="2:31" ht="18.75" x14ac:dyDescent="0.25">
      <c r="B82" s="16"/>
      <c r="C82" s="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6"/>
      <c r="R82" s="22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2:31" ht="18.75" x14ac:dyDescent="0.25">
      <c r="B83" s="16"/>
      <c r="C83" s="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6"/>
      <c r="R83" s="22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2:31" ht="18.75" x14ac:dyDescent="0.25">
      <c r="B84" s="16"/>
      <c r="C84" s="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6"/>
      <c r="R84" s="22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2:31" ht="18.75" x14ac:dyDescent="0.25">
      <c r="B85" s="16"/>
      <c r="C85" s="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6"/>
      <c r="R85" s="22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2:31" ht="19.5" thickBot="1" x14ac:dyDescent="0.3">
      <c r="C86" s="21" t="s">
        <v>43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R86" s="23" t="s">
        <v>43</v>
      </c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2:31" ht="19.5" thickBot="1" x14ac:dyDescent="0.3">
      <c r="C87" s="20" t="s">
        <v>55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R87" s="24" t="s">
        <v>55</v>
      </c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</row>
    <row r="88" spans="2:31" ht="18.75" x14ac:dyDescent="0.25">
      <c r="B88" s="1" t="s">
        <v>17</v>
      </c>
      <c r="C88" s="1"/>
      <c r="D88" s="1" t="s">
        <v>0</v>
      </c>
      <c r="E88" s="1" t="s">
        <v>108</v>
      </c>
      <c r="F88" s="1" t="s">
        <v>3</v>
      </c>
      <c r="G88" s="1" t="s">
        <v>115</v>
      </c>
      <c r="H88" s="1" t="s">
        <v>53</v>
      </c>
      <c r="I88" s="1" t="s">
        <v>109</v>
      </c>
      <c r="J88" s="1" t="s">
        <v>2</v>
      </c>
      <c r="K88" s="1" t="s">
        <v>5</v>
      </c>
      <c r="L88" s="1" t="s">
        <v>54</v>
      </c>
      <c r="M88" s="1" t="s">
        <v>114</v>
      </c>
      <c r="N88" s="1" t="s">
        <v>112</v>
      </c>
      <c r="O88" s="1" t="s">
        <v>110</v>
      </c>
      <c r="P88" s="1" t="s">
        <v>116</v>
      </c>
      <c r="Q88" s="22" t="s">
        <v>68</v>
      </c>
      <c r="R88" s="22"/>
      <c r="S88" s="22" t="s">
        <v>0</v>
      </c>
      <c r="T88" s="22" t="s">
        <v>108</v>
      </c>
      <c r="U88" s="22" t="s">
        <v>3</v>
      </c>
      <c r="V88" s="22" t="s">
        <v>115</v>
      </c>
      <c r="W88" s="22" t="s">
        <v>53</v>
      </c>
      <c r="X88" s="22" t="s">
        <v>109</v>
      </c>
      <c r="Y88" s="22" t="s">
        <v>2</v>
      </c>
      <c r="Z88" s="22" t="s">
        <v>5</v>
      </c>
      <c r="AA88" s="22" t="s">
        <v>54</v>
      </c>
      <c r="AB88" s="22" t="s">
        <v>114</v>
      </c>
      <c r="AC88" s="22" t="s">
        <v>112</v>
      </c>
      <c r="AD88" s="22" t="s">
        <v>110</v>
      </c>
      <c r="AE88" s="22" t="s">
        <v>116</v>
      </c>
    </row>
    <row r="89" spans="2:31" ht="18.75" x14ac:dyDescent="0.25">
      <c r="B89" s="16"/>
      <c r="C89" s="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6"/>
      <c r="R89" s="22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2:31" ht="18.75" x14ac:dyDescent="0.25">
      <c r="B90" s="16"/>
      <c r="C90" s="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6"/>
      <c r="R90" s="22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2:31" ht="18.75" x14ac:dyDescent="0.25">
      <c r="B91" s="16"/>
      <c r="C91" s="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6"/>
      <c r="R91" s="22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2:31" ht="18.75" x14ac:dyDescent="0.25">
      <c r="B92" s="16"/>
      <c r="C92" s="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6"/>
      <c r="R92" s="22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2:31" ht="19.5" thickBot="1" x14ac:dyDescent="0.3">
      <c r="C93" s="21" t="s">
        <v>43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R93" s="23" t="s">
        <v>43</v>
      </c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2:31" ht="19.5" thickBot="1" x14ac:dyDescent="0.3">
      <c r="C94" s="20" t="s">
        <v>55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R94" s="24" t="s">
        <v>55</v>
      </c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</row>
    <row r="95" spans="2:31" ht="18.75" x14ac:dyDescent="0.25">
      <c r="B95" s="1" t="s">
        <v>18</v>
      </c>
      <c r="C95" s="1"/>
      <c r="D95" s="1" t="s">
        <v>0</v>
      </c>
      <c r="E95" s="1" t="s">
        <v>108</v>
      </c>
      <c r="F95" s="1" t="s">
        <v>3</v>
      </c>
      <c r="G95" s="1" t="s">
        <v>115</v>
      </c>
      <c r="H95" s="1" t="s">
        <v>53</v>
      </c>
      <c r="I95" s="1" t="s">
        <v>109</v>
      </c>
      <c r="J95" s="1" t="s">
        <v>2</v>
      </c>
      <c r="K95" s="1" t="s">
        <v>5</v>
      </c>
      <c r="L95" s="1" t="s">
        <v>54</v>
      </c>
      <c r="M95" s="1" t="s">
        <v>114</v>
      </c>
      <c r="N95" s="1" t="s">
        <v>112</v>
      </c>
      <c r="O95" s="1" t="s">
        <v>110</v>
      </c>
      <c r="P95" s="1" t="s">
        <v>116</v>
      </c>
      <c r="Q95" s="22" t="s">
        <v>69</v>
      </c>
      <c r="R95" s="22"/>
      <c r="S95" s="22" t="s">
        <v>0</v>
      </c>
      <c r="T95" s="22" t="s">
        <v>108</v>
      </c>
      <c r="U95" s="22" t="s">
        <v>3</v>
      </c>
      <c r="V95" s="22" t="s">
        <v>115</v>
      </c>
      <c r="W95" s="22" t="s">
        <v>53</v>
      </c>
      <c r="X95" s="22" t="s">
        <v>109</v>
      </c>
      <c r="Y95" s="22" t="s">
        <v>2</v>
      </c>
      <c r="Z95" s="22" t="s">
        <v>5</v>
      </c>
      <c r="AA95" s="22" t="s">
        <v>54</v>
      </c>
      <c r="AB95" s="22" t="s">
        <v>114</v>
      </c>
      <c r="AC95" s="22" t="s">
        <v>112</v>
      </c>
      <c r="AD95" s="22" t="s">
        <v>110</v>
      </c>
      <c r="AE95" s="22" t="s">
        <v>116</v>
      </c>
    </row>
    <row r="96" spans="2:31" ht="18.75" x14ac:dyDescent="0.25">
      <c r="B96" s="16"/>
      <c r="C96" s="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6"/>
      <c r="R96" s="22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2:31" ht="18.75" x14ac:dyDescent="0.25">
      <c r="B97" s="16"/>
      <c r="C97" s="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6"/>
      <c r="R97" s="22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2:31" ht="18.75" x14ac:dyDescent="0.25">
      <c r="B98" s="16"/>
      <c r="C98" s="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6"/>
      <c r="R98" s="22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2:31" ht="18.75" x14ac:dyDescent="0.25">
      <c r="B99" s="16"/>
      <c r="C99" s="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6"/>
      <c r="R99" s="22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2:31" ht="19.5" thickBot="1" x14ac:dyDescent="0.3">
      <c r="C100" s="21" t="s">
        <v>43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R100" s="23" t="s">
        <v>43</v>
      </c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2:31" ht="19.5" thickBot="1" x14ac:dyDescent="0.3">
      <c r="C101" s="20" t="s">
        <v>55</v>
      </c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R101" s="24" t="s">
        <v>55</v>
      </c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</row>
    <row r="102" spans="2:31" ht="18.75" x14ac:dyDescent="0.25">
      <c r="B102" s="1" t="s">
        <v>19</v>
      </c>
      <c r="C102" s="1"/>
      <c r="D102" s="1" t="s">
        <v>0</v>
      </c>
      <c r="E102" s="1" t="s">
        <v>108</v>
      </c>
      <c r="F102" s="1" t="s">
        <v>3</v>
      </c>
      <c r="G102" s="1" t="s">
        <v>115</v>
      </c>
      <c r="H102" s="1" t="s">
        <v>53</v>
      </c>
      <c r="I102" s="1" t="s">
        <v>109</v>
      </c>
      <c r="J102" s="1" t="s">
        <v>2</v>
      </c>
      <c r="K102" s="1" t="s">
        <v>5</v>
      </c>
      <c r="L102" s="1" t="s">
        <v>54</v>
      </c>
      <c r="M102" s="1" t="s">
        <v>114</v>
      </c>
      <c r="N102" s="1" t="s">
        <v>112</v>
      </c>
      <c r="O102" s="1" t="s">
        <v>110</v>
      </c>
      <c r="P102" s="1" t="s">
        <v>116</v>
      </c>
      <c r="Q102" s="22" t="s">
        <v>70</v>
      </c>
      <c r="R102" s="22"/>
      <c r="S102" s="22" t="s">
        <v>0</v>
      </c>
      <c r="T102" s="22" t="s">
        <v>108</v>
      </c>
      <c r="U102" s="22" t="s">
        <v>3</v>
      </c>
      <c r="V102" s="22" t="s">
        <v>115</v>
      </c>
      <c r="W102" s="22" t="s">
        <v>53</v>
      </c>
      <c r="X102" s="22" t="s">
        <v>109</v>
      </c>
      <c r="Y102" s="22" t="s">
        <v>2</v>
      </c>
      <c r="Z102" s="22" t="s">
        <v>5</v>
      </c>
      <c r="AA102" s="22" t="s">
        <v>54</v>
      </c>
      <c r="AB102" s="22" t="s">
        <v>114</v>
      </c>
      <c r="AC102" s="22" t="s">
        <v>112</v>
      </c>
      <c r="AD102" s="22" t="s">
        <v>110</v>
      </c>
      <c r="AE102" s="22" t="s">
        <v>116</v>
      </c>
    </row>
    <row r="103" spans="2:31" ht="18.75" x14ac:dyDescent="0.25">
      <c r="B103" s="16"/>
      <c r="C103" s="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6"/>
      <c r="R103" s="22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2:31" ht="18.75" x14ac:dyDescent="0.25">
      <c r="B104" s="16"/>
      <c r="C104" s="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6"/>
      <c r="R104" s="22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2:31" ht="18.75" x14ac:dyDescent="0.25">
      <c r="B105" s="16"/>
      <c r="C105" s="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6"/>
      <c r="R105" s="22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2:31" ht="18.75" x14ac:dyDescent="0.25">
      <c r="B106" s="16"/>
      <c r="C106" s="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6"/>
      <c r="R106" s="22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2:31" ht="19.5" thickBot="1" x14ac:dyDescent="0.3">
      <c r="C107" s="21" t="s">
        <v>43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R107" s="23" t="s">
        <v>43</v>
      </c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2:31" ht="19.5" thickBot="1" x14ac:dyDescent="0.3">
      <c r="C108" s="20" t="s">
        <v>55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R108" s="24" t="s">
        <v>55</v>
      </c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</row>
    <row r="109" spans="2:31" ht="18.75" x14ac:dyDescent="0.25">
      <c r="B109" s="1" t="s">
        <v>20</v>
      </c>
      <c r="C109" s="1"/>
      <c r="D109" s="1" t="s">
        <v>0</v>
      </c>
      <c r="E109" s="1" t="s">
        <v>108</v>
      </c>
      <c r="F109" s="1" t="s">
        <v>3</v>
      </c>
      <c r="G109" s="1" t="s">
        <v>115</v>
      </c>
      <c r="H109" s="1" t="s">
        <v>53</v>
      </c>
      <c r="I109" s="1" t="s">
        <v>109</v>
      </c>
      <c r="J109" s="1" t="s">
        <v>2</v>
      </c>
      <c r="K109" s="1" t="s">
        <v>5</v>
      </c>
      <c r="L109" s="1" t="s">
        <v>54</v>
      </c>
      <c r="M109" s="1" t="s">
        <v>114</v>
      </c>
      <c r="N109" s="1" t="s">
        <v>112</v>
      </c>
      <c r="O109" s="1" t="s">
        <v>110</v>
      </c>
      <c r="P109" s="1" t="s">
        <v>116</v>
      </c>
      <c r="Q109" s="22" t="s">
        <v>71</v>
      </c>
      <c r="R109" s="22"/>
      <c r="S109" s="22" t="s">
        <v>0</v>
      </c>
      <c r="T109" s="22" t="s">
        <v>108</v>
      </c>
      <c r="U109" s="22" t="s">
        <v>3</v>
      </c>
      <c r="V109" s="22" t="s">
        <v>115</v>
      </c>
      <c r="W109" s="22" t="s">
        <v>53</v>
      </c>
      <c r="X109" s="22" t="s">
        <v>109</v>
      </c>
      <c r="Y109" s="22" t="s">
        <v>2</v>
      </c>
      <c r="Z109" s="22" t="s">
        <v>5</v>
      </c>
      <c r="AA109" s="22" t="s">
        <v>54</v>
      </c>
      <c r="AB109" s="22" t="s">
        <v>114</v>
      </c>
      <c r="AC109" s="22" t="s">
        <v>112</v>
      </c>
      <c r="AD109" s="22" t="s">
        <v>110</v>
      </c>
      <c r="AE109" s="22" t="s">
        <v>116</v>
      </c>
    </row>
    <row r="110" spans="2:31" ht="18.75" x14ac:dyDescent="0.25">
      <c r="B110" s="16"/>
      <c r="C110" s="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6"/>
      <c r="R110" s="22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2:31" ht="18.75" x14ac:dyDescent="0.25">
      <c r="B111" s="16"/>
      <c r="C111" s="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6"/>
      <c r="R111" s="22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2:31" ht="18.75" x14ac:dyDescent="0.25">
      <c r="B112" s="16"/>
      <c r="C112" s="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6"/>
      <c r="R112" s="22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2:31" ht="18.75" x14ac:dyDescent="0.25">
      <c r="B113" s="16"/>
      <c r="C113" s="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6"/>
      <c r="R113" s="22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2:31" ht="19.5" thickBot="1" x14ac:dyDescent="0.3">
      <c r="C114" s="21" t="s">
        <v>43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R114" s="23" t="s">
        <v>43</v>
      </c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2:31" ht="19.5" thickBot="1" x14ac:dyDescent="0.3">
      <c r="C115" s="20" t="s">
        <v>55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R115" s="24" t="s">
        <v>55</v>
      </c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</row>
    <row r="116" spans="2:31" ht="18.75" x14ac:dyDescent="0.25">
      <c r="B116" s="1" t="s">
        <v>21</v>
      </c>
      <c r="C116" s="1"/>
      <c r="D116" s="1" t="s">
        <v>0</v>
      </c>
      <c r="E116" s="1" t="s">
        <v>108</v>
      </c>
      <c r="F116" s="1" t="s">
        <v>3</v>
      </c>
      <c r="G116" s="1" t="s">
        <v>115</v>
      </c>
      <c r="H116" s="1" t="s">
        <v>53</v>
      </c>
      <c r="I116" s="1" t="s">
        <v>109</v>
      </c>
      <c r="J116" s="1" t="s">
        <v>2</v>
      </c>
      <c r="K116" s="1" t="s">
        <v>5</v>
      </c>
      <c r="L116" s="1" t="s">
        <v>54</v>
      </c>
      <c r="M116" s="1" t="s">
        <v>114</v>
      </c>
      <c r="N116" s="1" t="s">
        <v>112</v>
      </c>
      <c r="O116" s="1" t="s">
        <v>110</v>
      </c>
      <c r="P116" s="1" t="s">
        <v>116</v>
      </c>
      <c r="Q116" s="22" t="s">
        <v>72</v>
      </c>
      <c r="R116" s="22"/>
      <c r="S116" s="22" t="s">
        <v>0</v>
      </c>
      <c r="T116" s="22" t="s">
        <v>108</v>
      </c>
      <c r="U116" s="22" t="s">
        <v>3</v>
      </c>
      <c r="V116" s="22" t="s">
        <v>115</v>
      </c>
      <c r="W116" s="22" t="s">
        <v>53</v>
      </c>
      <c r="X116" s="22" t="s">
        <v>109</v>
      </c>
      <c r="Y116" s="22" t="s">
        <v>2</v>
      </c>
      <c r="Z116" s="22" t="s">
        <v>5</v>
      </c>
      <c r="AA116" s="22" t="s">
        <v>54</v>
      </c>
      <c r="AB116" s="22" t="s">
        <v>114</v>
      </c>
      <c r="AC116" s="22" t="s">
        <v>112</v>
      </c>
      <c r="AD116" s="22" t="s">
        <v>110</v>
      </c>
      <c r="AE116" s="22" t="s">
        <v>116</v>
      </c>
    </row>
    <row r="117" spans="2:31" ht="18.75" x14ac:dyDescent="0.25">
      <c r="B117" s="16"/>
      <c r="C117" s="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6"/>
      <c r="R117" s="22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2:31" ht="18.75" x14ac:dyDescent="0.25">
      <c r="B118" s="16"/>
      <c r="C118" s="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6"/>
      <c r="R118" s="22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2:31" ht="18.75" x14ac:dyDescent="0.25">
      <c r="B119" s="16"/>
      <c r="C119" s="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6"/>
      <c r="R119" s="22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2:31" ht="18.75" x14ac:dyDescent="0.25">
      <c r="B120" s="16"/>
      <c r="C120" s="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6"/>
      <c r="R120" s="22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2:31" ht="19.5" thickBot="1" x14ac:dyDescent="0.3">
      <c r="C121" s="21" t="s">
        <v>43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R121" s="23" t="s">
        <v>43</v>
      </c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2:31" ht="19.5" thickBot="1" x14ac:dyDescent="0.3">
      <c r="C122" s="20" t="s">
        <v>55</v>
      </c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R122" s="24" t="s">
        <v>55</v>
      </c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</row>
    <row r="123" spans="2:31" ht="18.75" x14ac:dyDescent="0.25">
      <c r="B123" s="1" t="s">
        <v>22</v>
      </c>
      <c r="C123" s="1"/>
      <c r="D123" s="1" t="s">
        <v>0</v>
      </c>
      <c r="E123" s="1" t="s">
        <v>108</v>
      </c>
      <c r="F123" s="1" t="s">
        <v>3</v>
      </c>
      <c r="G123" s="1" t="s">
        <v>115</v>
      </c>
      <c r="H123" s="1" t="s">
        <v>53</v>
      </c>
      <c r="I123" s="1" t="s">
        <v>109</v>
      </c>
      <c r="J123" s="1" t="s">
        <v>2</v>
      </c>
      <c r="K123" s="1" t="s">
        <v>5</v>
      </c>
      <c r="L123" s="1" t="s">
        <v>54</v>
      </c>
      <c r="M123" s="1" t="s">
        <v>114</v>
      </c>
      <c r="N123" s="1" t="s">
        <v>112</v>
      </c>
      <c r="O123" s="1" t="s">
        <v>110</v>
      </c>
      <c r="P123" s="1" t="s">
        <v>116</v>
      </c>
      <c r="Q123" s="22" t="s">
        <v>73</v>
      </c>
      <c r="R123" s="22"/>
      <c r="S123" s="22" t="s">
        <v>0</v>
      </c>
      <c r="T123" s="22" t="s">
        <v>108</v>
      </c>
      <c r="U123" s="22" t="s">
        <v>3</v>
      </c>
      <c r="V123" s="22" t="s">
        <v>115</v>
      </c>
      <c r="W123" s="22" t="s">
        <v>53</v>
      </c>
      <c r="X123" s="22" t="s">
        <v>109</v>
      </c>
      <c r="Y123" s="22" t="s">
        <v>2</v>
      </c>
      <c r="Z123" s="22" t="s">
        <v>5</v>
      </c>
      <c r="AA123" s="22" t="s">
        <v>54</v>
      </c>
      <c r="AB123" s="22" t="s">
        <v>114</v>
      </c>
      <c r="AC123" s="22" t="s">
        <v>112</v>
      </c>
      <c r="AD123" s="22" t="s">
        <v>110</v>
      </c>
      <c r="AE123" s="22" t="s">
        <v>116</v>
      </c>
    </row>
    <row r="124" spans="2:31" ht="18.75" x14ac:dyDescent="0.25">
      <c r="B124" s="16"/>
      <c r="C124" s="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6"/>
      <c r="R124" s="22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2:31" ht="18.75" x14ac:dyDescent="0.25">
      <c r="B125" s="16"/>
      <c r="C125" s="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6"/>
      <c r="R125" s="22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2:31" ht="18.75" x14ac:dyDescent="0.25">
      <c r="B126" s="16"/>
      <c r="C126" s="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6"/>
      <c r="R126" s="22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2:31" ht="18.75" x14ac:dyDescent="0.25">
      <c r="B127" s="16"/>
      <c r="C127" s="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6"/>
      <c r="R127" s="22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2:31" ht="19.5" thickBot="1" x14ac:dyDescent="0.3">
      <c r="C128" s="21" t="s">
        <v>43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R128" s="23" t="s">
        <v>43</v>
      </c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2:31" ht="19.5" thickBot="1" x14ac:dyDescent="0.3">
      <c r="C129" s="20" t="s">
        <v>55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R129" s="24" t="s">
        <v>55</v>
      </c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</row>
    <row r="130" spans="2:31" ht="18.75" x14ac:dyDescent="0.25">
      <c r="B130" s="1" t="s">
        <v>23</v>
      </c>
      <c r="C130" s="1"/>
      <c r="D130" s="1" t="s">
        <v>0</v>
      </c>
      <c r="E130" s="1" t="s">
        <v>108</v>
      </c>
      <c r="F130" s="1" t="s">
        <v>3</v>
      </c>
      <c r="G130" s="1" t="s">
        <v>115</v>
      </c>
      <c r="H130" s="1" t="s">
        <v>53</v>
      </c>
      <c r="I130" s="1" t="s">
        <v>109</v>
      </c>
      <c r="J130" s="1" t="s">
        <v>2</v>
      </c>
      <c r="K130" s="1" t="s">
        <v>5</v>
      </c>
      <c r="L130" s="1" t="s">
        <v>54</v>
      </c>
      <c r="M130" s="1" t="s">
        <v>114</v>
      </c>
      <c r="N130" s="1" t="s">
        <v>112</v>
      </c>
      <c r="O130" s="1" t="s">
        <v>110</v>
      </c>
      <c r="P130" s="1" t="s">
        <v>116</v>
      </c>
      <c r="Q130" s="22" t="s">
        <v>74</v>
      </c>
      <c r="R130" s="22"/>
      <c r="S130" s="22" t="s">
        <v>0</v>
      </c>
      <c r="T130" s="22" t="s">
        <v>108</v>
      </c>
      <c r="U130" s="22" t="s">
        <v>3</v>
      </c>
      <c r="V130" s="22" t="s">
        <v>115</v>
      </c>
      <c r="W130" s="22" t="s">
        <v>53</v>
      </c>
      <c r="X130" s="22" t="s">
        <v>109</v>
      </c>
      <c r="Y130" s="22" t="s">
        <v>2</v>
      </c>
      <c r="Z130" s="22" t="s">
        <v>5</v>
      </c>
      <c r="AA130" s="22" t="s">
        <v>54</v>
      </c>
      <c r="AB130" s="22" t="s">
        <v>114</v>
      </c>
      <c r="AC130" s="22" t="s">
        <v>112</v>
      </c>
      <c r="AD130" s="22" t="s">
        <v>110</v>
      </c>
      <c r="AE130" s="22" t="s">
        <v>116</v>
      </c>
    </row>
    <row r="131" spans="2:31" ht="18.75" x14ac:dyDescent="0.25">
      <c r="B131" s="16"/>
      <c r="C131" s="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6"/>
      <c r="R131" s="22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2:31" ht="18.75" x14ac:dyDescent="0.25">
      <c r="B132" s="16"/>
      <c r="C132" s="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6"/>
      <c r="R132" s="22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2:31" ht="18.75" x14ac:dyDescent="0.25">
      <c r="B133" s="16"/>
      <c r="C133" s="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6"/>
      <c r="R133" s="22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2:31" ht="18.75" x14ac:dyDescent="0.25">
      <c r="B134" s="16"/>
      <c r="C134" s="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6"/>
      <c r="R134" s="22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2:31" ht="19.5" thickBot="1" x14ac:dyDescent="0.3">
      <c r="C135" s="21" t="s">
        <v>43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R135" s="23" t="s">
        <v>43</v>
      </c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2:31" ht="19.5" thickBot="1" x14ac:dyDescent="0.3">
      <c r="C136" s="20" t="s">
        <v>55</v>
      </c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R136" s="24" t="s">
        <v>55</v>
      </c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</row>
    <row r="137" spans="2:31" ht="18.75" x14ac:dyDescent="0.25">
      <c r="B137" s="1" t="s">
        <v>24</v>
      </c>
      <c r="C137" s="1"/>
      <c r="D137" s="1" t="s">
        <v>0</v>
      </c>
      <c r="E137" s="1" t="s">
        <v>108</v>
      </c>
      <c r="F137" s="1" t="s">
        <v>3</v>
      </c>
      <c r="G137" s="1" t="s">
        <v>115</v>
      </c>
      <c r="H137" s="1" t="s">
        <v>53</v>
      </c>
      <c r="I137" s="1" t="s">
        <v>109</v>
      </c>
      <c r="J137" s="1" t="s">
        <v>2</v>
      </c>
      <c r="K137" s="1" t="s">
        <v>5</v>
      </c>
      <c r="L137" s="1" t="s">
        <v>54</v>
      </c>
      <c r="M137" s="1" t="s">
        <v>114</v>
      </c>
      <c r="N137" s="1" t="s">
        <v>112</v>
      </c>
      <c r="O137" s="1" t="s">
        <v>110</v>
      </c>
      <c r="P137" s="1" t="s">
        <v>116</v>
      </c>
      <c r="Q137" s="22" t="s">
        <v>75</v>
      </c>
      <c r="R137" s="22"/>
      <c r="S137" s="22" t="s">
        <v>0</v>
      </c>
      <c r="T137" s="22" t="s">
        <v>108</v>
      </c>
      <c r="U137" s="22" t="s">
        <v>3</v>
      </c>
      <c r="V137" s="22" t="s">
        <v>115</v>
      </c>
      <c r="W137" s="22" t="s">
        <v>53</v>
      </c>
      <c r="X137" s="22" t="s">
        <v>109</v>
      </c>
      <c r="Y137" s="22" t="s">
        <v>2</v>
      </c>
      <c r="Z137" s="22" t="s">
        <v>5</v>
      </c>
      <c r="AA137" s="22" t="s">
        <v>54</v>
      </c>
      <c r="AB137" s="22" t="s">
        <v>114</v>
      </c>
      <c r="AC137" s="22" t="s">
        <v>112</v>
      </c>
      <c r="AD137" s="22" t="s">
        <v>110</v>
      </c>
      <c r="AE137" s="22" t="s">
        <v>116</v>
      </c>
    </row>
    <row r="138" spans="2:31" ht="18.75" x14ac:dyDescent="0.25">
      <c r="B138" s="16"/>
      <c r="C138" s="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R138" s="22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2:31" ht="18.75" x14ac:dyDescent="0.25">
      <c r="B139" s="16"/>
      <c r="C139" s="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R139" s="22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2:31" ht="18.75" x14ac:dyDescent="0.25">
      <c r="B140" s="16"/>
      <c r="C140" s="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R140" s="22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2:31" ht="18.75" x14ac:dyDescent="0.25">
      <c r="B141" s="16"/>
      <c r="C141" s="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R141" s="22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2:31" ht="19.5" thickBot="1" x14ac:dyDescent="0.3">
      <c r="C142" s="21" t="s">
        <v>43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R142" s="23" t="s">
        <v>43</v>
      </c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2:31" ht="19.5" thickBot="1" x14ac:dyDescent="0.3">
      <c r="C143" s="20" t="s">
        <v>55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R143" s="24" t="s">
        <v>55</v>
      </c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</row>
    <row r="144" spans="2:31" ht="18.75" x14ac:dyDescent="0.25">
      <c r="B144" s="1" t="s">
        <v>25</v>
      </c>
      <c r="C144" s="1"/>
      <c r="D144" s="1" t="s">
        <v>0</v>
      </c>
      <c r="E144" s="1" t="s">
        <v>108</v>
      </c>
      <c r="F144" s="1" t="s">
        <v>3</v>
      </c>
      <c r="G144" s="1" t="s">
        <v>115</v>
      </c>
      <c r="H144" s="1" t="s">
        <v>53</v>
      </c>
      <c r="I144" s="1" t="s">
        <v>109</v>
      </c>
      <c r="J144" s="1" t="s">
        <v>2</v>
      </c>
      <c r="K144" s="1" t="s">
        <v>5</v>
      </c>
      <c r="L144" s="1" t="s">
        <v>54</v>
      </c>
      <c r="M144" s="1" t="s">
        <v>114</v>
      </c>
      <c r="N144" s="1" t="s">
        <v>112</v>
      </c>
      <c r="O144" s="1" t="s">
        <v>110</v>
      </c>
      <c r="P144" s="1" t="s">
        <v>116</v>
      </c>
      <c r="Q144" s="22" t="s">
        <v>76</v>
      </c>
      <c r="R144" s="22"/>
      <c r="S144" s="22" t="s">
        <v>0</v>
      </c>
      <c r="T144" s="22" t="s">
        <v>108</v>
      </c>
      <c r="U144" s="22" t="s">
        <v>3</v>
      </c>
      <c r="V144" s="22" t="s">
        <v>115</v>
      </c>
      <c r="W144" s="22" t="s">
        <v>53</v>
      </c>
      <c r="X144" s="22" t="s">
        <v>109</v>
      </c>
      <c r="Y144" s="22" t="s">
        <v>2</v>
      </c>
      <c r="Z144" s="22" t="s">
        <v>5</v>
      </c>
      <c r="AA144" s="22" t="s">
        <v>54</v>
      </c>
      <c r="AB144" s="22" t="s">
        <v>114</v>
      </c>
      <c r="AC144" s="22" t="s">
        <v>112</v>
      </c>
      <c r="AD144" s="22" t="s">
        <v>110</v>
      </c>
      <c r="AE144" s="22" t="s">
        <v>116</v>
      </c>
    </row>
    <row r="145" spans="2:31" ht="18.75" x14ac:dyDescent="0.25">
      <c r="B145" s="16"/>
      <c r="C145" s="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6"/>
      <c r="R145" s="22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2:31" ht="18.75" x14ac:dyDescent="0.25">
      <c r="B146" s="16"/>
      <c r="C146" s="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6"/>
      <c r="R146" s="22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2:31" ht="18.75" x14ac:dyDescent="0.25">
      <c r="B147" s="16"/>
      <c r="C147" s="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6"/>
      <c r="R147" s="22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2:31" ht="18.75" x14ac:dyDescent="0.25">
      <c r="B148" s="16"/>
      <c r="C148" s="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6"/>
      <c r="R148" s="22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2:31" ht="19.5" thickBot="1" x14ac:dyDescent="0.3">
      <c r="C149" s="21" t="s">
        <v>43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R149" s="23" t="s">
        <v>43</v>
      </c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2:31" ht="19.5" thickBot="1" x14ac:dyDescent="0.3">
      <c r="C150" s="20" t="s">
        <v>55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R150" s="24" t="s">
        <v>55</v>
      </c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</row>
    <row r="151" spans="2:31" ht="18.75" x14ac:dyDescent="0.25">
      <c r="B151" s="1" t="s">
        <v>26</v>
      </c>
      <c r="C151" s="1"/>
      <c r="D151" s="1" t="s">
        <v>0</v>
      </c>
      <c r="E151" s="1" t="s">
        <v>108</v>
      </c>
      <c r="F151" s="1" t="s">
        <v>3</v>
      </c>
      <c r="G151" s="1" t="s">
        <v>115</v>
      </c>
      <c r="H151" s="1" t="s">
        <v>53</v>
      </c>
      <c r="I151" s="1" t="s">
        <v>109</v>
      </c>
      <c r="J151" s="1" t="s">
        <v>2</v>
      </c>
      <c r="K151" s="1" t="s">
        <v>5</v>
      </c>
      <c r="L151" s="1" t="s">
        <v>54</v>
      </c>
      <c r="M151" s="1" t="s">
        <v>114</v>
      </c>
      <c r="N151" s="1" t="s">
        <v>112</v>
      </c>
      <c r="O151" s="1" t="s">
        <v>110</v>
      </c>
      <c r="P151" s="1" t="s">
        <v>116</v>
      </c>
      <c r="Q151" s="22" t="s">
        <v>77</v>
      </c>
      <c r="R151" s="22"/>
      <c r="S151" s="22" t="s">
        <v>0</v>
      </c>
      <c r="T151" s="22" t="s">
        <v>108</v>
      </c>
      <c r="U151" s="22" t="s">
        <v>3</v>
      </c>
      <c r="V151" s="22" t="s">
        <v>115</v>
      </c>
      <c r="W151" s="22" t="s">
        <v>53</v>
      </c>
      <c r="X151" s="22" t="s">
        <v>109</v>
      </c>
      <c r="Y151" s="22" t="s">
        <v>2</v>
      </c>
      <c r="Z151" s="22" t="s">
        <v>5</v>
      </c>
      <c r="AA151" s="22" t="s">
        <v>54</v>
      </c>
      <c r="AB151" s="22" t="s">
        <v>114</v>
      </c>
      <c r="AC151" s="22" t="s">
        <v>112</v>
      </c>
      <c r="AD151" s="22" t="s">
        <v>110</v>
      </c>
      <c r="AE151" s="22" t="s">
        <v>116</v>
      </c>
    </row>
    <row r="152" spans="2:31" ht="18.75" x14ac:dyDescent="0.25">
      <c r="B152" s="16"/>
      <c r="C152" s="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6"/>
      <c r="R152" s="22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2:31" ht="18.75" x14ac:dyDescent="0.25">
      <c r="B153" s="16"/>
      <c r="C153" s="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6"/>
      <c r="R153" s="22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2:31" ht="18.75" x14ac:dyDescent="0.25">
      <c r="B154" s="16"/>
      <c r="C154" s="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6"/>
      <c r="R154" s="22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2:31" ht="18.75" x14ac:dyDescent="0.25">
      <c r="B155" s="16"/>
      <c r="C155" s="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6"/>
      <c r="R155" s="22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2:31" ht="19.5" thickBot="1" x14ac:dyDescent="0.3">
      <c r="C156" s="21" t="s">
        <v>43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R156" s="23" t="s">
        <v>43</v>
      </c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2:31" ht="19.5" thickBot="1" x14ac:dyDescent="0.3">
      <c r="C157" s="20" t="s">
        <v>55</v>
      </c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R157" s="24" t="s">
        <v>55</v>
      </c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</row>
    <row r="158" spans="2:31" ht="18.75" x14ac:dyDescent="0.25">
      <c r="B158" s="1" t="s">
        <v>27</v>
      </c>
      <c r="C158" s="1"/>
      <c r="D158" s="1" t="s">
        <v>0</v>
      </c>
      <c r="E158" s="1" t="s">
        <v>108</v>
      </c>
      <c r="F158" s="1" t="s">
        <v>3</v>
      </c>
      <c r="G158" s="1" t="s">
        <v>115</v>
      </c>
      <c r="H158" s="1" t="s">
        <v>53</v>
      </c>
      <c r="I158" s="1" t="s">
        <v>109</v>
      </c>
      <c r="J158" s="1" t="s">
        <v>2</v>
      </c>
      <c r="K158" s="1" t="s">
        <v>5</v>
      </c>
      <c r="L158" s="1" t="s">
        <v>54</v>
      </c>
      <c r="M158" s="1" t="s">
        <v>114</v>
      </c>
      <c r="N158" s="1" t="s">
        <v>112</v>
      </c>
      <c r="O158" s="1" t="s">
        <v>110</v>
      </c>
      <c r="P158" s="1" t="s">
        <v>116</v>
      </c>
      <c r="Q158" s="22" t="s">
        <v>78</v>
      </c>
      <c r="R158" s="22"/>
      <c r="S158" s="22" t="s">
        <v>0</v>
      </c>
      <c r="T158" s="22" t="s">
        <v>108</v>
      </c>
      <c r="U158" s="22" t="s">
        <v>3</v>
      </c>
      <c r="V158" s="22" t="s">
        <v>115</v>
      </c>
      <c r="W158" s="22" t="s">
        <v>53</v>
      </c>
      <c r="X158" s="22" t="s">
        <v>109</v>
      </c>
      <c r="Y158" s="22" t="s">
        <v>2</v>
      </c>
      <c r="Z158" s="22" t="s">
        <v>5</v>
      </c>
      <c r="AA158" s="22" t="s">
        <v>54</v>
      </c>
      <c r="AB158" s="22" t="s">
        <v>114</v>
      </c>
      <c r="AC158" s="22" t="s">
        <v>112</v>
      </c>
      <c r="AD158" s="22" t="s">
        <v>110</v>
      </c>
      <c r="AE158" s="22" t="s">
        <v>116</v>
      </c>
    </row>
    <row r="159" spans="2:31" ht="18.75" x14ac:dyDescent="0.25">
      <c r="B159" s="16"/>
      <c r="C159" s="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6"/>
      <c r="R159" s="22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2:31" ht="18.75" x14ac:dyDescent="0.25">
      <c r="B160" s="16"/>
      <c r="C160" s="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6"/>
      <c r="R160" s="22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2:31" ht="18.75" x14ac:dyDescent="0.25">
      <c r="B161" s="16"/>
      <c r="C161" s="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6"/>
      <c r="R161" s="22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2:31" ht="18.75" x14ac:dyDescent="0.25">
      <c r="B162" s="16"/>
      <c r="C162" s="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6"/>
      <c r="R162" s="22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2:31" ht="19.5" thickBot="1" x14ac:dyDescent="0.3">
      <c r="C163" s="21" t="s">
        <v>43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R163" s="23" t="s">
        <v>43</v>
      </c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2:31" ht="19.5" thickBot="1" x14ac:dyDescent="0.3">
      <c r="C164" s="20" t="s">
        <v>55</v>
      </c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R164" s="24" t="s">
        <v>55</v>
      </c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</row>
    <row r="165" spans="2:31" ht="18.75" x14ac:dyDescent="0.25">
      <c r="B165" s="1" t="s">
        <v>28</v>
      </c>
      <c r="C165" s="1"/>
      <c r="D165" s="1" t="s">
        <v>0</v>
      </c>
      <c r="E165" s="1" t="s">
        <v>108</v>
      </c>
      <c r="F165" s="1" t="s">
        <v>3</v>
      </c>
      <c r="G165" s="1" t="s">
        <v>115</v>
      </c>
      <c r="H165" s="1" t="s">
        <v>53</v>
      </c>
      <c r="I165" s="1" t="s">
        <v>109</v>
      </c>
      <c r="J165" s="1" t="s">
        <v>2</v>
      </c>
      <c r="K165" s="1" t="s">
        <v>5</v>
      </c>
      <c r="L165" s="1" t="s">
        <v>54</v>
      </c>
      <c r="M165" s="1" t="s">
        <v>114</v>
      </c>
      <c r="N165" s="1" t="s">
        <v>112</v>
      </c>
      <c r="O165" s="1" t="s">
        <v>110</v>
      </c>
      <c r="P165" s="1" t="s">
        <v>116</v>
      </c>
      <c r="Q165" s="22" t="s">
        <v>79</v>
      </c>
      <c r="R165" s="22"/>
      <c r="S165" s="22" t="s">
        <v>0</v>
      </c>
      <c r="T165" s="22" t="s">
        <v>108</v>
      </c>
      <c r="U165" s="22" t="s">
        <v>3</v>
      </c>
      <c r="V165" s="22" t="s">
        <v>115</v>
      </c>
      <c r="W165" s="22" t="s">
        <v>53</v>
      </c>
      <c r="X165" s="22" t="s">
        <v>109</v>
      </c>
      <c r="Y165" s="22" t="s">
        <v>2</v>
      </c>
      <c r="Z165" s="22" t="s">
        <v>5</v>
      </c>
      <c r="AA165" s="22" t="s">
        <v>54</v>
      </c>
      <c r="AB165" s="22" t="s">
        <v>114</v>
      </c>
      <c r="AC165" s="22" t="s">
        <v>112</v>
      </c>
      <c r="AD165" s="22" t="s">
        <v>110</v>
      </c>
      <c r="AE165" s="22" t="s">
        <v>116</v>
      </c>
    </row>
    <row r="166" spans="2:31" ht="18.75" x14ac:dyDescent="0.25">
      <c r="B166" s="16"/>
      <c r="C166" s="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6"/>
      <c r="R166" s="22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2:31" ht="18.75" x14ac:dyDescent="0.25">
      <c r="B167" s="16"/>
      <c r="C167" s="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6"/>
      <c r="R167" s="22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2:31" ht="18.75" x14ac:dyDescent="0.25">
      <c r="B168" s="16"/>
      <c r="C168" s="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6"/>
      <c r="R168" s="22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2:31" ht="18.75" x14ac:dyDescent="0.25">
      <c r="B169" s="16"/>
      <c r="C169" s="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6"/>
      <c r="R169" s="22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2:31" ht="19.5" thickBot="1" x14ac:dyDescent="0.3">
      <c r="C170" s="21" t="s">
        <v>43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R170" s="23" t="s">
        <v>43</v>
      </c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2:31" ht="19.5" thickBot="1" x14ac:dyDescent="0.3">
      <c r="C171" s="20" t="s">
        <v>55</v>
      </c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R171" s="24" t="s">
        <v>55</v>
      </c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</row>
    <row r="172" spans="2:31" ht="18.75" x14ac:dyDescent="0.25">
      <c r="B172" s="1" t="s">
        <v>29</v>
      </c>
      <c r="C172" s="1"/>
      <c r="D172" s="1" t="s">
        <v>0</v>
      </c>
      <c r="E172" s="1" t="s">
        <v>108</v>
      </c>
      <c r="F172" s="1" t="s">
        <v>3</v>
      </c>
      <c r="G172" s="1" t="s">
        <v>115</v>
      </c>
      <c r="H172" s="1" t="s">
        <v>53</v>
      </c>
      <c r="I172" s="1" t="s">
        <v>109</v>
      </c>
      <c r="J172" s="1" t="s">
        <v>2</v>
      </c>
      <c r="K172" s="1" t="s">
        <v>5</v>
      </c>
      <c r="L172" s="1" t="s">
        <v>54</v>
      </c>
      <c r="M172" s="1" t="s">
        <v>114</v>
      </c>
      <c r="N172" s="1" t="s">
        <v>112</v>
      </c>
      <c r="O172" s="1" t="s">
        <v>110</v>
      </c>
      <c r="P172" s="1" t="s">
        <v>116</v>
      </c>
      <c r="Q172" s="22" t="s">
        <v>80</v>
      </c>
      <c r="R172" s="22"/>
      <c r="S172" s="22" t="s">
        <v>0</v>
      </c>
      <c r="T172" s="22" t="s">
        <v>108</v>
      </c>
      <c r="U172" s="22" t="s">
        <v>3</v>
      </c>
      <c r="V172" s="22" t="s">
        <v>115</v>
      </c>
      <c r="W172" s="22" t="s">
        <v>53</v>
      </c>
      <c r="X172" s="22" t="s">
        <v>109</v>
      </c>
      <c r="Y172" s="22" t="s">
        <v>2</v>
      </c>
      <c r="Z172" s="22" t="s">
        <v>5</v>
      </c>
      <c r="AA172" s="22" t="s">
        <v>54</v>
      </c>
      <c r="AB172" s="22" t="s">
        <v>114</v>
      </c>
      <c r="AC172" s="22" t="s">
        <v>112</v>
      </c>
      <c r="AD172" s="22" t="s">
        <v>110</v>
      </c>
      <c r="AE172" s="22" t="s">
        <v>116</v>
      </c>
    </row>
    <row r="173" spans="2:31" ht="18.75" x14ac:dyDescent="0.25">
      <c r="B173" s="16"/>
      <c r="C173" s="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6"/>
      <c r="R173" s="22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2:31" ht="18.75" x14ac:dyDescent="0.25">
      <c r="B174" s="16"/>
      <c r="C174" s="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6"/>
      <c r="R174" s="22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2:31" ht="18.75" x14ac:dyDescent="0.25">
      <c r="B175" s="16"/>
      <c r="C175" s="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6"/>
      <c r="R175" s="22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2:31" ht="18.75" x14ac:dyDescent="0.25">
      <c r="B176" s="16"/>
      <c r="C176" s="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6"/>
      <c r="R176" s="22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2:31" ht="19.5" thickBot="1" x14ac:dyDescent="0.3">
      <c r="C177" s="21" t="s">
        <v>43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23" t="s">
        <v>43</v>
      </c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2:31" ht="19.5" thickBot="1" x14ac:dyDescent="0.3">
      <c r="C178" s="20" t="s">
        <v>55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R178" s="24" t="s">
        <v>55</v>
      </c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</row>
    <row r="179" spans="2:31" ht="18.75" x14ac:dyDescent="0.25">
      <c r="B179" s="1" t="s">
        <v>30</v>
      </c>
      <c r="C179" s="1"/>
      <c r="D179" s="1" t="s">
        <v>0</v>
      </c>
      <c r="E179" s="1" t="s">
        <v>108</v>
      </c>
      <c r="F179" s="1" t="s">
        <v>3</v>
      </c>
      <c r="G179" s="1" t="s">
        <v>115</v>
      </c>
      <c r="H179" s="1" t="s">
        <v>53</v>
      </c>
      <c r="I179" s="1" t="s">
        <v>109</v>
      </c>
      <c r="J179" s="1" t="s">
        <v>2</v>
      </c>
      <c r="K179" s="1" t="s">
        <v>5</v>
      </c>
      <c r="L179" s="1" t="s">
        <v>54</v>
      </c>
      <c r="M179" s="1" t="s">
        <v>114</v>
      </c>
      <c r="N179" s="1" t="s">
        <v>112</v>
      </c>
      <c r="O179" s="1" t="s">
        <v>110</v>
      </c>
      <c r="P179" s="1" t="s">
        <v>116</v>
      </c>
      <c r="Q179" s="22" t="s">
        <v>81</v>
      </c>
      <c r="R179" s="22"/>
      <c r="S179" s="22" t="s">
        <v>0</v>
      </c>
      <c r="T179" s="22" t="s">
        <v>108</v>
      </c>
      <c r="U179" s="22" t="s">
        <v>3</v>
      </c>
      <c r="V179" s="22" t="s">
        <v>115</v>
      </c>
      <c r="W179" s="22" t="s">
        <v>53</v>
      </c>
      <c r="X179" s="22" t="s">
        <v>109</v>
      </c>
      <c r="Y179" s="22" t="s">
        <v>2</v>
      </c>
      <c r="Z179" s="22" t="s">
        <v>5</v>
      </c>
      <c r="AA179" s="22" t="s">
        <v>54</v>
      </c>
      <c r="AB179" s="22" t="s">
        <v>114</v>
      </c>
      <c r="AC179" s="22" t="s">
        <v>112</v>
      </c>
      <c r="AD179" s="22" t="s">
        <v>110</v>
      </c>
      <c r="AE179" s="22" t="s">
        <v>116</v>
      </c>
    </row>
    <row r="180" spans="2:31" ht="18.75" x14ac:dyDescent="0.25">
      <c r="B180" s="16"/>
      <c r="C180" s="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6"/>
      <c r="R180" s="22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2:31" ht="18.75" x14ac:dyDescent="0.25">
      <c r="B181" s="16"/>
      <c r="C181" s="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6"/>
      <c r="R181" s="22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2:31" ht="18.75" x14ac:dyDescent="0.25">
      <c r="B182" s="16"/>
      <c r="C182" s="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6"/>
      <c r="R182" s="22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2:31" ht="18.75" x14ac:dyDescent="0.25">
      <c r="B183" s="16"/>
      <c r="C183" s="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6"/>
      <c r="R183" s="22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2:31" ht="19.5" thickBot="1" x14ac:dyDescent="0.3">
      <c r="C184" s="21" t="s">
        <v>43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R184" s="23" t="s">
        <v>43</v>
      </c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2:31" ht="19.5" thickBot="1" x14ac:dyDescent="0.3">
      <c r="C185" s="20" t="s">
        <v>55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R185" s="24" t="s">
        <v>55</v>
      </c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</row>
    <row r="186" spans="2:31" ht="18.75" x14ac:dyDescent="0.25">
      <c r="B186" s="1" t="s">
        <v>31</v>
      </c>
      <c r="C186" s="1"/>
      <c r="D186" s="1" t="s">
        <v>0</v>
      </c>
      <c r="E186" s="1" t="s">
        <v>108</v>
      </c>
      <c r="F186" s="1" t="s">
        <v>3</v>
      </c>
      <c r="G186" s="1" t="s">
        <v>115</v>
      </c>
      <c r="H186" s="1" t="s">
        <v>53</v>
      </c>
      <c r="I186" s="1" t="s">
        <v>109</v>
      </c>
      <c r="J186" s="1" t="s">
        <v>2</v>
      </c>
      <c r="K186" s="1" t="s">
        <v>5</v>
      </c>
      <c r="L186" s="1" t="s">
        <v>54</v>
      </c>
      <c r="M186" s="1" t="s">
        <v>114</v>
      </c>
      <c r="N186" s="1" t="s">
        <v>112</v>
      </c>
      <c r="O186" s="1" t="s">
        <v>110</v>
      </c>
      <c r="P186" s="1" t="s">
        <v>116</v>
      </c>
      <c r="Q186" s="22" t="s">
        <v>82</v>
      </c>
      <c r="R186" s="22"/>
      <c r="S186" s="22" t="s">
        <v>0</v>
      </c>
      <c r="T186" s="22" t="s">
        <v>108</v>
      </c>
      <c r="U186" s="22" t="s">
        <v>3</v>
      </c>
      <c r="V186" s="22" t="s">
        <v>115</v>
      </c>
      <c r="W186" s="22" t="s">
        <v>53</v>
      </c>
      <c r="X186" s="22" t="s">
        <v>109</v>
      </c>
      <c r="Y186" s="22" t="s">
        <v>2</v>
      </c>
      <c r="Z186" s="22" t="s">
        <v>5</v>
      </c>
      <c r="AA186" s="22" t="s">
        <v>54</v>
      </c>
      <c r="AB186" s="22" t="s">
        <v>114</v>
      </c>
      <c r="AC186" s="22" t="s">
        <v>112</v>
      </c>
      <c r="AD186" s="22" t="s">
        <v>110</v>
      </c>
      <c r="AE186" s="22" t="s">
        <v>116</v>
      </c>
    </row>
    <row r="187" spans="2:31" ht="18.75" x14ac:dyDescent="0.25">
      <c r="B187" s="16"/>
      <c r="C187" s="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6"/>
      <c r="R187" s="22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2:31" ht="18.75" x14ac:dyDescent="0.25">
      <c r="B188" s="16"/>
      <c r="C188" s="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6"/>
      <c r="R188" s="22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2:31" ht="18.75" x14ac:dyDescent="0.25">
      <c r="B189" s="16"/>
      <c r="C189" s="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6"/>
      <c r="R189" s="22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2:31" ht="18.75" x14ac:dyDescent="0.25">
      <c r="B190" s="16"/>
      <c r="C190" s="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6"/>
      <c r="R190" s="22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2:31" ht="19.5" thickBot="1" x14ac:dyDescent="0.3">
      <c r="C191" s="21" t="s">
        <v>43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R191" s="23" t="s">
        <v>43</v>
      </c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2:31" ht="19.5" thickBot="1" x14ac:dyDescent="0.3">
      <c r="C192" s="20" t="s">
        <v>55</v>
      </c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R192" s="24" t="s">
        <v>55</v>
      </c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</row>
    <row r="193" spans="2:31" ht="18.75" x14ac:dyDescent="0.25">
      <c r="B193" s="1" t="s">
        <v>32</v>
      </c>
      <c r="C193" s="1"/>
      <c r="D193" s="1" t="s">
        <v>0</v>
      </c>
      <c r="E193" s="1" t="s">
        <v>108</v>
      </c>
      <c r="F193" s="1" t="s">
        <v>3</v>
      </c>
      <c r="G193" s="1" t="s">
        <v>115</v>
      </c>
      <c r="H193" s="1" t="s">
        <v>53</v>
      </c>
      <c r="I193" s="1" t="s">
        <v>109</v>
      </c>
      <c r="J193" s="1" t="s">
        <v>2</v>
      </c>
      <c r="K193" s="1" t="s">
        <v>5</v>
      </c>
      <c r="L193" s="1" t="s">
        <v>54</v>
      </c>
      <c r="M193" s="1" t="s">
        <v>114</v>
      </c>
      <c r="N193" s="1" t="s">
        <v>112</v>
      </c>
      <c r="O193" s="1" t="s">
        <v>110</v>
      </c>
      <c r="P193" s="1" t="s">
        <v>116</v>
      </c>
      <c r="Q193" s="22" t="s">
        <v>83</v>
      </c>
      <c r="R193" s="22"/>
      <c r="S193" s="22" t="s">
        <v>0</v>
      </c>
      <c r="T193" s="22" t="s">
        <v>108</v>
      </c>
      <c r="U193" s="22" t="s">
        <v>3</v>
      </c>
      <c r="V193" s="22" t="s">
        <v>115</v>
      </c>
      <c r="W193" s="22" t="s">
        <v>53</v>
      </c>
      <c r="X193" s="22" t="s">
        <v>109</v>
      </c>
      <c r="Y193" s="22" t="s">
        <v>2</v>
      </c>
      <c r="Z193" s="22" t="s">
        <v>5</v>
      </c>
      <c r="AA193" s="22" t="s">
        <v>54</v>
      </c>
      <c r="AB193" s="22" t="s">
        <v>114</v>
      </c>
      <c r="AC193" s="22" t="s">
        <v>112</v>
      </c>
      <c r="AD193" s="22" t="s">
        <v>110</v>
      </c>
      <c r="AE193" s="22" t="s">
        <v>116</v>
      </c>
    </row>
    <row r="194" spans="2:31" ht="18.75" x14ac:dyDescent="0.25">
      <c r="B194" s="16"/>
      <c r="C194" s="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6"/>
      <c r="R194" s="22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2:31" ht="18.75" x14ac:dyDescent="0.25">
      <c r="B195" s="16"/>
      <c r="C195" s="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6"/>
      <c r="R195" s="22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2:31" ht="18.75" x14ac:dyDescent="0.25">
      <c r="B196" s="16"/>
      <c r="C196" s="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6"/>
      <c r="R196" s="22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2:31" ht="18.75" x14ac:dyDescent="0.25">
      <c r="B197" s="16"/>
      <c r="C197" s="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6"/>
      <c r="R197" s="22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2:31" ht="19.5" thickBot="1" x14ac:dyDescent="0.3">
      <c r="C198" s="21" t="s">
        <v>43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R198" s="23" t="s">
        <v>43</v>
      </c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2:31" ht="19.5" thickBot="1" x14ac:dyDescent="0.3">
      <c r="C199" s="20" t="s">
        <v>55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R199" s="24" t="s">
        <v>55</v>
      </c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</row>
    <row r="200" spans="2:31" ht="18.75" x14ac:dyDescent="0.25">
      <c r="B200" s="1" t="s">
        <v>33</v>
      </c>
      <c r="C200" s="1"/>
      <c r="D200" s="1" t="s">
        <v>0</v>
      </c>
      <c r="E200" s="1" t="s">
        <v>108</v>
      </c>
      <c r="F200" s="1" t="s">
        <v>3</v>
      </c>
      <c r="G200" s="1" t="s">
        <v>115</v>
      </c>
      <c r="H200" s="1" t="s">
        <v>53</v>
      </c>
      <c r="I200" s="1" t="s">
        <v>109</v>
      </c>
      <c r="J200" s="1" t="s">
        <v>2</v>
      </c>
      <c r="K200" s="1" t="s">
        <v>5</v>
      </c>
      <c r="L200" s="1" t="s">
        <v>54</v>
      </c>
      <c r="M200" s="1" t="s">
        <v>114</v>
      </c>
      <c r="N200" s="1" t="s">
        <v>112</v>
      </c>
      <c r="O200" s="1" t="s">
        <v>110</v>
      </c>
      <c r="P200" s="1" t="s">
        <v>116</v>
      </c>
      <c r="Q200" s="22" t="s">
        <v>84</v>
      </c>
      <c r="R200" s="22"/>
      <c r="S200" s="22" t="s">
        <v>0</v>
      </c>
      <c r="T200" s="22" t="s">
        <v>108</v>
      </c>
      <c r="U200" s="22" t="s">
        <v>3</v>
      </c>
      <c r="V200" s="22" t="s">
        <v>115</v>
      </c>
      <c r="W200" s="22" t="s">
        <v>53</v>
      </c>
      <c r="X200" s="22" t="s">
        <v>109</v>
      </c>
      <c r="Y200" s="22" t="s">
        <v>2</v>
      </c>
      <c r="Z200" s="22" t="s">
        <v>5</v>
      </c>
      <c r="AA200" s="22" t="s">
        <v>54</v>
      </c>
      <c r="AB200" s="22" t="s">
        <v>114</v>
      </c>
      <c r="AC200" s="22" t="s">
        <v>112</v>
      </c>
      <c r="AD200" s="22" t="s">
        <v>110</v>
      </c>
      <c r="AE200" s="22" t="s">
        <v>116</v>
      </c>
    </row>
    <row r="201" spans="2:31" ht="18.75" x14ac:dyDescent="0.25">
      <c r="B201" s="16"/>
      <c r="C201" s="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6"/>
      <c r="R201" s="22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2:31" ht="18.75" x14ac:dyDescent="0.25">
      <c r="B202" s="16"/>
      <c r="C202" s="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6"/>
      <c r="R202" s="22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2:31" ht="18.75" x14ac:dyDescent="0.25">
      <c r="B203" s="16"/>
      <c r="C203" s="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6"/>
      <c r="R203" s="22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2:31" ht="18.75" x14ac:dyDescent="0.25">
      <c r="B204" s="16"/>
      <c r="C204" s="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6"/>
      <c r="R204" s="22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2:31" ht="19.5" thickBot="1" x14ac:dyDescent="0.3">
      <c r="C205" s="21" t="s">
        <v>43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R205" s="23" t="s">
        <v>43</v>
      </c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2:31" ht="19.5" thickBot="1" x14ac:dyDescent="0.3">
      <c r="C206" s="20" t="s">
        <v>55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R206" s="24" t="s">
        <v>55</v>
      </c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</row>
    <row r="207" spans="2:31" ht="18.75" x14ac:dyDescent="0.25">
      <c r="B207" s="1" t="s">
        <v>34</v>
      </c>
      <c r="C207" s="1"/>
      <c r="D207" s="1" t="s">
        <v>0</v>
      </c>
      <c r="E207" s="1" t="s">
        <v>108</v>
      </c>
      <c r="F207" s="1" t="s">
        <v>3</v>
      </c>
      <c r="G207" s="1" t="s">
        <v>115</v>
      </c>
      <c r="H207" s="1" t="s">
        <v>53</v>
      </c>
      <c r="I207" s="1" t="s">
        <v>109</v>
      </c>
      <c r="J207" s="1" t="s">
        <v>2</v>
      </c>
      <c r="K207" s="1" t="s">
        <v>5</v>
      </c>
      <c r="L207" s="1" t="s">
        <v>54</v>
      </c>
      <c r="M207" s="1" t="s">
        <v>114</v>
      </c>
      <c r="N207" s="1" t="s">
        <v>112</v>
      </c>
      <c r="O207" s="1" t="s">
        <v>110</v>
      </c>
      <c r="P207" s="1" t="s">
        <v>116</v>
      </c>
      <c r="Q207" s="22" t="s">
        <v>85</v>
      </c>
      <c r="R207" s="22"/>
      <c r="S207" s="22" t="s">
        <v>0</v>
      </c>
      <c r="T207" s="22" t="s">
        <v>108</v>
      </c>
      <c r="U207" s="22" t="s">
        <v>3</v>
      </c>
      <c r="V207" s="22" t="s">
        <v>115</v>
      </c>
      <c r="W207" s="22" t="s">
        <v>53</v>
      </c>
      <c r="X207" s="22" t="s">
        <v>109</v>
      </c>
      <c r="Y207" s="22" t="s">
        <v>2</v>
      </c>
      <c r="Z207" s="22" t="s">
        <v>5</v>
      </c>
      <c r="AA207" s="22" t="s">
        <v>54</v>
      </c>
      <c r="AB207" s="22" t="s">
        <v>114</v>
      </c>
      <c r="AC207" s="22" t="s">
        <v>112</v>
      </c>
      <c r="AD207" s="22" t="s">
        <v>110</v>
      </c>
      <c r="AE207" s="22" t="s">
        <v>116</v>
      </c>
    </row>
    <row r="208" spans="2:31" ht="18.75" x14ac:dyDescent="0.25">
      <c r="B208" s="16"/>
      <c r="C208" s="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6"/>
      <c r="R208" s="22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2:31" ht="18.75" x14ac:dyDescent="0.25">
      <c r="B209" s="16"/>
      <c r="C209" s="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6"/>
      <c r="R209" s="22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2:31" ht="18.75" x14ac:dyDescent="0.25">
      <c r="B210" s="16"/>
      <c r="C210" s="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6"/>
      <c r="R210" s="22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2:31" ht="18.75" x14ac:dyDescent="0.25">
      <c r="B211" s="16"/>
      <c r="C211" s="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6"/>
      <c r="R211" s="22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2:31" ht="19.5" thickBot="1" x14ac:dyDescent="0.3">
      <c r="C212" s="21" t="s">
        <v>43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R212" s="23" t="s">
        <v>43</v>
      </c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2:31" ht="19.5" thickBot="1" x14ac:dyDescent="0.3">
      <c r="C213" s="20" t="s">
        <v>55</v>
      </c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R213" s="24" t="s">
        <v>55</v>
      </c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</row>
    <row r="214" spans="2:31" ht="18.75" x14ac:dyDescent="0.25">
      <c r="B214" s="1" t="s">
        <v>35</v>
      </c>
      <c r="C214" s="1"/>
      <c r="D214" s="1" t="s">
        <v>0</v>
      </c>
      <c r="E214" s="1" t="s">
        <v>108</v>
      </c>
      <c r="F214" s="1" t="s">
        <v>3</v>
      </c>
      <c r="G214" s="1" t="s">
        <v>115</v>
      </c>
      <c r="H214" s="1" t="s">
        <v>53</v>
      </c>
      <c r="I214" s="1" t="s">
        <v>109</v>
      </c>
      <c r="J214" s="1" t="s">
        <v>2</v>
      </c>
      <c r="K214" s="1" t="s">
        <v>5</v>
      </c>
      <c r="L214" s="1" t="s">
        <v>54</v>
      </c>
      <c r="M214" s="1" t="s">
        <v>114</v>
      </c>
      <c r="N214" s="1" t="s">
        <v>112</v>
      </c>
      <c r="O214" s="1" t="s">
        <v>110</v>
      </c>
      <c r="P214" s="1" t="s">
        <v>116</v>
      </c>
      <c r="Q214" s="22" t="s">
        <v>86</v>
      </c>
      <c r="R214" s="22"/>
      <c r="S214" s="22" t="s">
        <v>0</v>
      </c>
      <c r="T214" s="22" t="s">
        <v>108</v>
      </c>
      <c r="U214" s="22" t="s">
        <v>3</v>
      </c>
      <c r="V214" s="22" t="s">
        <v>115</v>
      </c>
      <c r="W214" s="22" t="s">
        <v>53</v>
      </c>
      <c r="X214" s="22" t="s">
        <v>109</v>
      </c>
      <c r="Y214" s="22" t="s">
        <v>2</v>
      </c>
      <c r="Z214" s="22" t="s">
        <v>5</v>
      </c>
      <c r="AA214" s="22" t="s">
        <v>54</v>
      </c>
      <c r="AB214" s="22" t="s">
        <v>114</v>
      </c>
      <c r="AC214" s="22" t="s">
        <v>112</v>
      </c>
      <c r="AD214" s="22" t="s">
        <v>110</v>
      </c>
      <c r="AE214" s="22" t="s">
        <v>116</v>
      </c>
    </row>
    <row r="215" spans="2:31" ht="18.75" x14ac:dyDescent="0.25">
      <c r="B215" s="16"/>
      <c r="C215" s="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6"/>
      <c r="R215" s="22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2:31" ht="18.75" x14ac:dyDescent="0.25">
      <c r="B216" s="16"/>
      <c r="C216" s="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6"/>
      <c r="R216" s="22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2:31" ht="18.75" x14ac:dyDescent="0.25">
      <c r="B217" s="16"/>
      <c r="C217" s="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6"/>
      <c r="R217" s="22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2:31" ht="18.75" x14ac:dyDescent="0.25">
      <c r="B218" s="16"/>
      <c r="C218" s="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6"/>
      <c r="R218" s="22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2:31" ht="19.5" thickBot="1" x14ac:dyDescent="0.3">
      <c r="C219" s="21" t="s">
        <v>43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R219" s="23" t="s">
        <v>43</v>
      </c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2:31" ht="19.5" thickBot="1" x14ac:dyDescent="0.3">
      <c r="C220" s="20" t="s">
        <v>55</v>
      </c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R220" s="24" t="s">
        <v>55</v>
      </c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</row>
    <row r="221" spans="2:31" ht="18.75" x14ac:dyDescent="0.25">
      <c r="B221" s="1" t="s">
        <v>36</v>
      </c>
      <c r="C221" s="1"/>
      <c r="D221" s="1" t="s">
        <v>0</v>
      </c>
      <c r="E221" s="1" t="s">
        <v>108</v>
      </c>
      <c r="F221" s="1" t="s">
        <v>3</v>
      </c>
      <c r="G221" s="1" t="s">
        <v>115</v>
      </c>
      <c r="H221" s="1" t="s">
        <v>53</v>
      </c>
      <c r="I221" s="1" t="s">
        <v>109</v>
      </c>
      <c r="J221" s="1" t="s">
        <v>2</v>
      </c>
      <c r="K221" s="1" t="s">
        <v>5</v>
      </c>
      <c r="L221" s="1" t="s">
        <v>54</v>
      </c>
      <c r="M221" s="1" t="s">
        <v>114</v>
      </c>
      <c r="N221" s="1" t="s">
        <v>112</v>
      </c>
      <c r="O221" s="1" t="s">
        <v>110</v>
      </c>
      <c r="P221" s="1" t="s">
        <v>116</v>
      </c>
      <c r="Q221" s="22" t="s">
        <v>87</v>
      </c>
      <c r="R221" s="22"/>
      <c r="S221" s="22" t="s">
        <v>0</v>
      </c>
      <c r="T221" s="22" t="s">
        <v>108</v>
      </c>
      <c r="U221" s="22" t="s">
        <v>3</v>
      </c>
      <c r="V221" s="22" t="s">
        <v>115</v>
      </c>
      <c r="W221" s="22" t="s">
        <v>53</v>
      </c>
      <c r="X221" s="22" t="s">
        <v>109</v>
      </c>
      <c r="Y221" s="22" t="s">
        <v>2</v>
      </c>
      <c r="Z221" s="22" t="s">
        <v>5</v>
      </c>
      <c r="AA221" s="22" t="s">
        <v>54</v>
      </c>
      <c r="AB221" s="22" t="s">
        <v>114</v>
      </c>
      <c r="AC221" s="22" t="s">
        <v>112</v>
      </c>
      <c r="AD221" s="22" t="s">
        <v>110</v>
      </c>
      <c r="AE221" s="22" t="s">
        <v>116</v>
      </c>
    </row>
    <row r="222" spans="2:31" ht="18.75" x14ac:dyDescent="0.25">
      <c r="B222" s="16"/>
      <c r="C222" s="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16"/>
      <c r="R222" s="22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2:31" ht="18.75" x14ac:dyDescent="0.25">
      <c r="B223" s="16"/>
      <c r="C223" s="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16"/>
      <c r="R223" s="22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2:31" ht="18.75" x14ac:dyDescent="0.25">
      <c r="B224" s="16"/>
      <c r="C224" s="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16"/>
      <c r="R224" s="22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2:31" ht="18.75" x14ac:dyDescent="0.25">
      <c r="B225" s="16"/>
      <c r="C225" s="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16"/>
      <c r="R225" s="22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2:31" ht="19.5" thickBot="1" x14ac:dyDescent="0.3">
      <c r="C226" s="21" t="s">
        <v>43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R226" s="23" t="s">
        <v>43</v>
      </c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2:31" ht="19.5" thickBot="1" x14ac:dyDescent="0.3">
      <c r="C227" s="20" t="s">
        <v>55</v>
      </c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R227" s="24" t="s">
        <v>55</v>
      </c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</row>
    <row r="228" spans="2:31" ht="18.75" x14ac:dyDescent="0.25">
      <c r="B228" s="1" t="s">
        <v>37</v>
      </c>
      <c r="C228" s="1"/>
      <c r="D228" s="1" t="s">
        <v>0</v>
      </c>
      <c r="E228" s="1" t="s">
        <v>108</v>
      </c>
      <c r="F228" s="1" t="s">
        <v>3</v>
      </c>
      <c r="G228" s="1" t="s">
        <v>115</v>
      </c>
      <c r="H228" s="1" t="s">
        <v>53</v>
      </c>
      <c r="I228" s="1" t="s">
        <v>109</v>
      </c>
      <c r="J228" s="1" t="s">
        <v>2</v>
      </c>
      <c r="K228" s="1" t="s">
        <v>5</v>
      </c>
      <c r="L228" s="1" t="s">
        <v>54</v>
      </c>
      <c r="M228" s="1" t="s">
        <v>114</v>
      </c>
      <c r="N228" s="1" t="s">
        <v>112</v>
      </c>
      <c r="O228" s="1" t="s">
        <v>110</v>
      </c>
      <c r="P228" s="1" t="s">
        <v>116</v>
      </c>
      <c r="Q228" s="22" t="s">
        <v>88</v>
      </c>
      <c r="R228" s="22"/>
      <c r="S228" s="22" t="s">
        <v>0</v>
      </c>
      <c r="T228" s="22" t="s">
        <v>108</v>
      </c>
      <c r="U228" s="22" t="s">
        <v>3</v>
      </c>
      <c r="V228" s="22" t="s">
        <v>115</v>
      </c>
      <c r="W228" s="22" t="s">
        <v>53</v>
      </c>
      <c r="X228" s="22" t="s">
        <v>109</v>
      </c>
      <c r="Y228" s="22" t="s">
        <v>2</v>
      </c>
      <c r="Z228" s="22" t="s">
        <v>5</v>
      </c>
      <c r="AA228" s="22" t="s">
        <v>54</v>
      </c>
      <c r="AB228" s="22" t="s">
        <v>114</v>
      </c>
      <c r="AC228" s="22" t="s">
        <v>112</v>
      </c>
      <c r="AD228" s="22" t="s">
        <v>110</v>
      </c>
      <c r="AE228" s="22" t="s">
        <v>116</v>
      </c>
    </row>
    <row r="229" spans="2:31" ht="18.75" x14ac:dyDescent="0.25">
      <c r="B229" s="16"/>
      <c r="C229" s="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16"/>
      <c r="R229" s="22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2:31" ht="18.75" x14ac:dyDescent="0.25">
      <c r="B230" s="16"/>
      <c r="C230" s="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16"/>
      <c r="R230" s="22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2:31" ht="18.75" x14ac:dyDescent="0.25">
      <c r="B231" s="16"/>
      <c r="C231" s="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16"/>
      <c r="R231" s="22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2:31" ht="18.75" x14ac:dyDescent="0.25">
      <c r="B232" s="16"/>
      <c r="C232" s="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16"/>
      <c r="R232" s="22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2:31" ht="19.5" thickBot="1" x14ac:dyDescent="0.3">
      <c r="C233" s="21" t="s">
        <v>43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R233" s="23" t="s">
        <v>43</v>
      </c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2:31" ht="19.5" thickBot="1" x14ac:dyDescent="0.3">
      <c r="C234" s="20" t="s">
        <v>55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R234" s="24" t="s">
        <v>55</v>
      </c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</row>
    <row r="235" spans="2:31" ht="18.75" x14ac:dyDescent="0.25">
      <c r="B235" s="1" t="s">
        <v>38</v>
      </c>
      <c r="C235" s="1"/>
      <c r="D235" s="1" t="s">
        <v>0</v>
      </c>
      <c r="E235" s="1" t="s">
        <v>108</v>
      </c>
      <c r="F235" s="1" t="s">
        <v>3</v>
      </c>
      <c r="G235" s="1" t="s">
        <v>115</v>
      </c>
      <c r="H235" s="1" t="s">
        <v>53</v>
      </c>
      <c r="I235" s="1" t="s">
        <v>109</v>
      </c>
      <c r="J235" s="1" t="s">
        <v>2</v>
      </c>
      <c r="K235" s="1" t="s">
        <v>5</v>
      </c>
      <c r="L235" s="1" t="s">
        <v>54</v>
      </c>
      <c r="M235" s="1" t="s">
        <v>114</v>
      </c>
      <c r="N235" s="1" t="s">
        <v>112</v>
      </c>
      <c r="O235" s="1" t="s">
        <v>110</v>
      </c>
      <c r="P235" s="1" t="s">
        <v>116</v>
      </c>
      <c r="Q235" s="22" t="s">
        <v>89</v>
      </c>
      <c r="R235" s="22"/>
      <c r="S235" s="22" t="s">
        <v>0</v>
      </c>
      <c r="T235" s="22" t="s">
        <v>108</v>
      </c>
      <c r="U235" s="22" t="s">
        <v>3</v>
      </c>
      <c r="V235" s="22" t="s">
        <v>115</v>
      </c>
      <c r="W235" s="22" t="s">
        <v>53</v>
      </c>
      <c r="X235" s="22" t="s">
        <v>109</v>
      </c>
      <c r="Y235" s="22" t="s">
        <v>2</v>
      </c>
      <c r="Z235" s="22" t="s">
        <v>5</v>
      </c>
      <c r="AA235" s="22" t="s">
        <v>54</v>
      </c>
      <c r="AB235" s="22" t="s">
        <v>114</v>
      </c>
      <c r="AC235" s="22" t="s">
        <v>112</v>
      </c>
      <c r="AD235" s="22" t="s">
        <v>110</v>
      </c>
      <c r="AE235" s="22" t="s">
        <v>116</v>
      </c>
    </row>
    <row r="236" spans="2:31" ht="18.75" x14ac:dyDescent="0.25">
      <c r="B236" s="16"/>
      <c r="C236" s="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16"/>
      <c r="R236" s="22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2:31" ht="18.75" x14ac:dyDescent="0.25">
      <c r="B237" s="16"/>
      <c r="C237" s="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16"/>
      <c r="R237" s="22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2:31" ht="18.75" x14ac:dyDescent="0.25">
      <c r="B238" s="16"/>
      <c r="C238" s="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16"/>
      <c r="R238" s="22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2:31" ht="18.75" x14ac:dyDescent="0.25">
      <c r="B239" s="16"/>
      <c r="C239" s="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16"/>
      <c r="R239" s="22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2:31" ht="19.5" thickBot="1" x14ac:dyDescent="0.3">
      <c r="C240" s="21" t="s">
        <v>43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R240" s="23" t="s">
        <v>43</v>
      </c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2:31" ht="19.5" thickBot="1" x14ac:dyDescent="0.3">
      <c r="C241" s="20" t="s">
        <v>55</v>
      </c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R241" s="24" t="s">
        <v>55</v>
      </c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</row>
    <row r="242" spans="2:31" ht="18.75" x14ac:dyDescent="0.25">
      <c r="B242" s="1" t="s">
        <v>39</v>
      </c>
      <c r="C242" s="1"/>
      <c r="D242" s="1" t="s">
        <v>0</v>
      </c>
      <c r="E242" s="1" t="s">
        <v>108</v>
      </c>
      <c r="F242" s="1" t="s">
        <v>3</v>
      </c>
      <c r="G242" s="1" t="s">
        <v>115</v>
      </c>
      <c r="H242" s="1" t="s">
        <v>53</v>
      </c>
      <c r="I242" s="1" t="s">
        <v>109</v>
      </c>
      <c r="J242" s="1" t="s">
        <v>2</v>
      </c>
      <c r="K242" s="1" t="s">
        <v>5</v>
      </c>
      <c r="L242" s="1" t="s">
        <v>54</v>
      </c>
      <c r="M242" s="1" t="s">
        <v>114</v>
      </c>
      <c r="N242" s="1" t="s">
        <v>112</v>
      </c>
      <c r="O242" s="1" t="s">
        <v>110</v>
      </c>
      <c r="P242" s="1" t="s">
        <v>116</v>
      </c>
      <c r="Q242" s="22" t="s">
        <v>90</v>
      </c>
      <c r="R242" s="22"/>
      <c r="S242" s="22" t="s">
        <v>0</v>
      </c>
      <c r="T242" s="22" t="s">
        <v>108</v>
      </c>
      <c r="U242" s="22" t="s">
        <v>3</v>
      </c>
      <c r="V242" s="22" t="s">
        <v>115</v>
      </c>
      <c r="W242" s="22" t="s">
        <v>53</v>
      </c>
      <c r="X242" s="22" t="s">
        <v>109</v>
      </c>
      <c r="Y242" s="22" t="s">
        <v>2</v>
      </c>
      <c r="Z242" s="22" t="s">
        <v>5</v>
      </c>
      <c r="AA242" s="22" t="s">
        <v>54</v>
      </c>
      <c r="AB242" s="22" t="s">
        <v>114</v>
      </c>
      <c r="AC242" s="22" t="s">
        <v>112</v>
      </c>
      <c r="AD242" s="22" t="s">
        <v>110</v>
      </c>
      <c r="AE242" s="22" t="s">
        <v>116</v>
      </c>
    </row>
    <row r="243" spans="2:31" ht="18.75" x14ac:dyDescent="0.25">
      <c r="B243" s="16"/>
      <c r="C243" s="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16"/>
      <c r="R243" s="22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2:31" ht="18.75" x14ac:dyDescent="0.25">
      <c r="B244" s="16"/>
      <c r="C244" s="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16"/>
      <c r="R244" s="22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2:31" ht="18.75" x14ac:dyDescent="0.25">
      <c r="B245" s="16"/>
      <c r="C245" s="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16"/>
      <c r="R245" s="22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2:31" ht="18.75" x14ac:dyDescent="0.25">
      <c r="B246" s="16"/>
      <c r="C246" s="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16"/>
      <c r="R246" s="22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2:31" ht="19.5" thickBot="1" x14ac:dyDescent="0.3">
      <c r="C247" s="21" t="s">
        <v>43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R247" s="23" t="s">
        <v>43</v>
      </c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2:31" ht="19.5" thickBot="1" x14ac:dyDescent="0.3">
      <c r="C248" s="20" t="s">
        <v>55</v>
      </c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R248" s="24" t="s">
        <v>55</v>
      </c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</row>
    <row r="249" spans="2:31" ht="18.75" x14ac:dyDescent="0.25">
      <c r="B249" s="1" t="s">
        <v>40</v>
      </c>
      <c r="C249" s="1"/>
      <c r="D249" s="1" t="s">
        <v>0</v>
      </c>
      <c r="E249" s="1" t="s">
        <v>108</v>
      </c>
      <c r="F249" s="1" t="s">
        <v>3</v>
      </c>
      <c r="G249" s="1" t="s">
        <v>115</v>
      </c>
      <c r="H249" s="1" t="s">
        <v>53</v>
      </c>
      <c r="I249" s="1" t="s">
        <v>109</v>
      </c>
      <c r="J249" s="1" t="s">
        <v>2</v>
      </c>
      <c r="K249" s="1" t="s">
        <v>5</v>
      </c>
      <c r="L249" s="1" t="s">
        <v>54</v>
      </c>
      <c r="M249" s="1" t="s">
        <v>114</v>
      </c>
      <c r="N249" s="1" t="s">
        <v>112</v>
      </c>
      <c r="O249" s="1" t="s">
        <v>110</v>
      </c>
      <c r="P249" s="1" t="s">
        <v>116</v>
      </c>
      <c r="Q249" s="22" t="s">
        <v>91</v>
      </c>
      <c r="R249" s="22"/>
      <c r="S249" s="22" t="s">
        <v>0</v>
      </c>
      <c r="T249" s="22" t="s">
        <v>108</v>
      </c>
      <c r="U249" s="22" t="s">
        <v>3</v>
      </c>
      <c r="V249" s="22" t="s">
        <v>115</v>
      </c>
      <c r="W249" s="22" t="s">
        <v>53</v>
      </c>
      <c r="X249" s="22" t="s">
        <v>109</v>
      </c>
      <c r="Y249" s="22" t="s">
        <v>2</v>
      </c>
      <c r="Z249" s="22" t="s">
        <v>5</v>
      </c>
      <c r="AA249" s="22" t="s">
        <v>54</v>
      </c>
      <c r="AB249" s="22" t="s">
        <v>114</v>
      </c>
      <c r="AC249" s="22" t="s">
        <v>112</v>
      </c>
      <c r="AD249" s="22" t="s">
        <v>110</v>
      </c>
      <c r="AE249" s="22" t="s">
        <v>116</v>
      </c>
    </row>
    <row r="250" spans="2:31" ht="18.75" x14ac:dyDescent="0.25">
      <c r="B250" s="16"/>
      <c r="C250" s="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16"/>
      <c r="R250" s="22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2:31" ht="18.75" x14ac:dyDescent="0.25">
      <c r="B251" s="16"/>
      <c r="C251" s="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16"/>
      <c r="R251" s="22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2:31" ht="18.75" x14ac:dyDescent="0.25">
      <c r="B252" s="16"/>
      <c r="C252" s="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16"/>
      <c r="R252" s="22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2:31" ht="18.75" x14ac:dyDescent="0.25">
      <c r="B253" s="16"/>
      <c r="C253" s="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16"/>
      <c r="R253" s="22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2:31" ht="19.5" thickBot="1" x14ac:dyDescent="0.3">
      <c r="C254" s="21" t="s">
        <v>43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R254" s="23" t="s">
        <v>43</v>
      </c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2:31" ht="19.5" thickBot="1" x14ac:dyDescent="0.3">
      <c r="C255" s="20" t="s">
        <v>55</v>
      </c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R255" s="24" t="s">
        <v>55</v>
      </c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</row>
    <row r="256" spans="2:31" ht="18.75" x14ac:dyDescent="0.25">
      <c r="B256" s="1" t="s">
        <v>41</v>
      </c>
      <c r="C256" s="1"/>
      <c r="D256" s="1" t="s">
        <v>0</v>
      </c>
      <c r="E256" s="1" t="s">
        <v>108</v>
      </c>
      <c r="F256" s="1" t="s">
        <v>3</v>
      </c>
      <c r="G256" s="1" t="s">
        <v>115</v>
      </c>
      <c r="H256" s="1" t="s">
        <v>53</v>
      </c>
      <c r="I256" s="1" t="s">
        <v>109</v>
      </c>
      <c r="J256" s="1" t="s">
        <v>2</v>
      </c>
      <c r="K256" s="1" t="s">
        <v>5</v>
      </c>
      <c r="L256" s="1" t="s">
        <v>54</v>
      </c>
      <c r="M256" s="1" t="s">
        <v>114</v>
      </c>
      <c r="N256" s="1" t="s">
        <v>112</v>
      </c>
      <c r="O256" s="1" t="s">
        <v>110</v>
      </c>
      <c r="P256" s="1" t="s">
        <v>116</v>
      </c>
      <c r="Q256" s="22" t="s">
        <v>92</v>
      </c>
      <c r="R256" s="22"/>
      <c r="S256" s="22" t="s">
        <v>0</v>
      </c>
      <c r="T256" s="22" t="s">
        <v>108</v>
      </c>
      <c r="U256" s="22" t="s">
        <v>3</v>
      </c>
      <c r="V256" s="22" t="s">
        <v>115</v>
      </c>
      <c r="W256" s="22" t="s">
        <v>53</v>
      </c>
      <c r="X256" s="22" t="s">
        <v>109</v>
      </c>
      <c r="Y256" s="22" t="s">
        <v>2</v>
      </c>
      <c r="Z256" s="22" t="s">
        <v>5</v>
      </c>
      <c r="AA256" s="22" t="s">
        <v>54</v>
      </c>
      <c r="AB256" s="22" t="s">
        <v>114</v>
      </c>
      <c r="AC256" s="22" t="s">
        <v>112</v>
      </c>
      <c r="AD256" s="22" t="s">
        <v>110</v>
      </c>
      <c r="AE256" s="22" t="s">
        <v>116</v>
      </c>
    </row>
    <row r="257" spans="2:31" ht="18.75" x14ac:dyDescent="0.25">
      <c r="B257" s="16"/>
      <c r="C257" s="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16"/>
      <c r="R257" s="22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2:31" ht="18.75" x14ac:dyDescent="0.25">
      <c r="B258" s="16"/>
      <c r="C258" s="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16"/>
      <c r="R258" s="22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2:31" ht="18.75" x14ac:dyDescent="0.25">
      <c r="B259" s="16"/>
      <c r="C259" s="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16"/>
      <c r="R259" s="22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2:31" ht="18.75" x14ac:dyDescent="0.25">
      <c r="B260" s="16"/>
      <c r="C260" s="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16"/>
      <c r="R260" s="22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2:31" ht="19.5" thickBot="1" x14ac:dyDescent="0.3">
      <c r="C261" s="21" t="s">
        <v>43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R261" s="23" t="s">
        <v>43</v>
      </c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2:31" ht="19.5" thickBot="1" x14ac:dyDescent="0.3">
      <c r="C262" s="20" t="s">
        <v>55</v>
      </c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R262" s="24" t="s">
        <v>55</v>
      </c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</row>
    <row r="263" spans="2:31" ht="18.75" x14ac:dyDescent="0.25">
      <c r="B263" s="1" t="s">
        <v>42</v>
      </c>
      <c r="C263" s="1"/>
      <c r="D263" s="1" t="s">
        <v>0</v>
      </c>
      <c r="E263" s="1" t="s">
        <v>108</v>
      </c>
      <c r="F263" s="1" t="s">
        <v>3</v>
      </c>
      <c r="G263" s="1" t="s">
        <v>115</v>
      </c>
      <c r="H263" s="1" t="s">
        <v>53</v>
      </c>
      <c r="I263" s="1" t="s">
        <v>109</v>
      </c>
      <c r="J263" s="1" t="s">
        <v>2</v>
      </c>
      <c r="K263" s="1" t="s">
        <v>5</v>
      </c>
      <c r="L263" s="1" t="s">
        <v>54</v>
      </c>
      <c r="M263" s="1" t="s">
        <v>114</v>
      </c>
      <c r="N263" s="1" t="s">
        <v>112</v>
      </c>
      <c r="O263" s="1" t="s">
        <v>110</v>
      </c>
      <c r="P263" s="1" t="s">
        <v>116</v>
      </c>
      <c r="Q263" s="22" t="s">
        <v>93</v>
      </c>
      <c r="R263" s="22"/>
      <c r="S263" s="22" t="s">
        <v>0</v>
      </c>
      <c r="T263" s="22" t="s">
        <v>108</v>
      </c>
      <c r="U263" s="22" t="s">
        <v>3</v>
      </c>
      <c r="V263" s="22" t="s">
        <v>115</v>
      </c>
      <c r="W263" s="22" t="s">
        <v>53</v>
      </c>
      <c r="X263" s="22" t="s">
        <v>109</v>
      </c>
      <c r="Y263" s="22" t="s">
        <v>2</v>
      </c>
      <c r="Z263" s="22" t="s">
        <v>5</v>
      </c>
      <c r="AA263" s="22" t="s">
        <v>54</v>
      </c>
      <c r="AB263" s="22" t="s">
        <v>114</v>
      </c>
      <c r="AC263" s="22" t="s">
        <v>112</v>
      </c>
      <c r="AD263" s="22" t="s">
        <v>110</v>
      </c>
      <c r="AE263" s="22" t="s">
        <v>116</v>
      </c>
    </row>
    <row r="264" spans="2:31" ht="18.75" x14ac:dyDescent="0.25">
      <c r="B264" s="16"/>
      <c r="C264" s="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16"/>
      <c r="R264" s="22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2:31" ht="18.75" x14ac:dyDescent="0.25">
      <c r="B265" s="16"/>
      <c r="C265" s="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16"/>
      <c r="R265" s="22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2:31" ht="18.75" x14ac:dyDescent="0.25">
      <c r="B266" s="16"/>
      <c r="C266" s="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16"/>
      <c r="R266" s="22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2:31" ht="18.75" x14ac:dyDescent="0.25">
      <c r="B267" s="16"/>
      <c r="C267" s="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16"/>
      <c r="R267" s="22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2:31" ht="19.5" thickBot="1" x14ac:dyDescent="0.3">
      <c r="C268" s="21" t="s">
        <v>43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R268" s="23" t="s">
        <v>43</v>
      </c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2:31" ht="19.5" thickBot="1" x14ac:dyDescent="0.3">
      <c r="C269" s="1" t="s">
        <v>55</v>
      </c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R269" s="32" t="s">
        <v>55</v>
      </c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</row>
    <row r="283" spans="2:15" ht="18.75" x14ac:dyDescent="0.25">
      <c r="B283" s="1" t="s">
        <v>94</v>
      </c>
      <c r="C283" s="1"/>
      <c r="D283" s="1" t="s">
        <v>0</v>
      </c>
      <c r="E283" s="1" t="s">
        <v>108</v>
      </c>
      <c r="F283" s="1" t="s">
        <v>3</v>
      </c>
      <c r="G283" s="1" t="s">
        <v>53</v>
      </c>
      <c r="H283" s="1" t="s">
        <v>109</v>
      </c>
      <c r="I283" s="1" t="s">
        <v>2</v>
      </c>
      <c r="J283" s="1" t="s">
        <v>5</v>
      </c>
      <c r="K283" s="1" t="s">
        <v>54</v>
      </c>
      <c r="L283" s="1" t="s">
        <v>114</v>
      </c>
      <c r="M283" s="1" t="s">
        <v>112</v>
      </c>
      <c r="N283" s="1" t="s">
        <v>110</v>
      </c>
      <c r="O283" s="1"/>
    </row>
    <row r="284" spans="2:15" ht="18.75" x14ac:dyDescent="0.25">
      <c r="B284" s="16"/>
      <c r="C284" s="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2:15" ht="18.75" x14ac:dyDescent="0.25">
      <c r="B285" s="16"/>
      <c r="C285" s="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2:15" ht="18.75" x14ac:dyDescent="0.25">
      <c r="B286" s="16"/>
      <c r="C286" s="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2:15" ht="18.75" x14ac:dyDescent="0.25">
      <c r="B287" s="16"/>
      <c r="C287" s="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2:15" ht="18.75" x14ac:dyDescent="0.25">
      <c r="B288" s="16"/>
      <c r="C288" s="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2:15" ht="18.75" x14ac:dyDescent="0.25">
      <c r="B289" s="16"/>
      <c r="C289" s="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2:15" ht="18.75" x14ac:dyDescent="0.25">
      <c r="B290" s="16"/>
      <c r="C290" s="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2:15" ht="18.75" x14ac:dyDescent="0.25">
      <c r="B291" s="16"/>
      <c r="C291" s="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2:15" ht="18.75" x14ac:dyDescent="0.25">
      <c r="B292" s="16"/>
      <c r="C292" s="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2:15" ht="18.75" x14ac:dyDescent="0.25">
      <c r="B293" s="16"/>
      <c r="C293" s="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2:15" ht="18.75" x14ac:dyDescent="0.25">
      <c r="B294" s="16"/>
      <c r="C294" s="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2:15" ht="18.75" x14ac:dyDescent="0.25">
      <c r="B295" s="16"/>
      <c r="C295" s="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2:15" ht="18.75" x14ac:dyDescent="0.25">
      <c r="B296" s="16"/>
      <c r="C296" s="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2:15" ht="18.75" x14ac:dyDescent="0.25">
      <c r="B297" s="16"/>
      <c r="C297" s="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2:15" ht="18.75" x14ac:dyDescent="0.25">
      <c r="B298" s="16"/>
      <c r="C298" s="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2:15" ht="18.75" x14ac:dyDescent="0.25">
      <c r="B299" s="16"/>
      <c r="C299" s="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2:15" ht="19.5" thickBot="1" x14ac:dyDescent="0.3">
      <c r="C300" s="21" t="s">
        <v>43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2:15" ht="18.75" x14ac:dyDescent="0.25">
      <c r="C301" s="1" t="s">
        <v>55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84BA-C58E-4845-8482-990335637919}">
  <dimension ref="A1:AY366"/>
  <sheetViews>
    <sheetView zoomScale="115" zoomScaleNormal="115" workbookViewId="0">
      <selection activeCell="E5" sqref="E5"/>
    </sheetView>
  </sheetViews>
  <sheetFormatPr defaultRowHeight="15" x14ac:dyDescent="0.25"/>
  <cols>
    <col min="2" max="2" width="12.140625" customWidth="1"/>
    <col min="3" max="3" width="14" customWidth="1"/>
    <col min="4" max="4" width="15.28515625" customWidth="1"/>
    <col min="5" max="5" width="20.42578125" customWidth="1"/>
    <col min="6" max="6" width="11.5703125" customWidth="1"/>
  </cols>
  <sheetData>
    <row r="1" spans="1:51" x14ac:dyDescent="0.25">
      <c r="A1" s="34" t="s">
        <v>51</v>
      </c>
      <c r="B1" s="34"/>
      <c r="C1" s="34"/>
      <c r="D1" s="3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 ht="27.75" customHeight="1" thickBot="1" x14ac:dyDescent="0.3">
      <c r="A2" s="35"/>
      <c r="B2" s="35"/>
      <c r="C2" s="35"/>
      <c r="D2" s="35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</row>
    <row r="3" spans="1:51" ht="18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18" customHeight="1" x14ac:dyDescent="0.25">
      <c r="A4" s="5"/>
      <c r="B4" s="8" t="s">
        <v>48</v>
      </c>
      <c r="C4" s="15"/>
      <c r="D4" s="9" t="s">
        <v>49</v>
      </c>
      <c r="E4" s="10" t="s">
        <v>50</v>
      </c>
      <c r="F4" s="10" t="s">
        <v>55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ht="18" customHeight="1" x14ac:dyDescent="0.25">
      <c r="A5" s="5"/>
      <c r="B5" s="6">
        <v>1</v>
      </c>
      <c r="C5" s="16"/>
      <c r="D5" s="6" t="str" cm="1">
        <f t="array" aca="1" ref="D5:F25" ca="1">_xlfn.SORTBY(_xlfn.HSTACK('Extra Results'!M174:M186, 'Extra Results'!N153:N173, 'Extra Results'!L153:L173),'Extra Results'!N153:N173, -1,'Extra Results'!L153:L173, -1)</f>
        <v>Callum</v>
      </c>
      <c r="E5" s="7">
        <f ca="1"/>
        <v>0</v>
      </c>
      <c r="F5" s="7">
        <f ca="1"/>
        <v>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ht="18" customHeight="1" x14ac:dyDescent="0.25">
      <c r="A6" s="5"/>
      <c r="B6" s="2">
        <v>2</v>
      </c>
      <c r="C6" s="16"/>
      <c r="D6" s="6" t="str">
        <f ca="1"/>
        <v>Charlotte</v>
      </c>
      <c r="E6" s="7">
        <f ca="1"/>
        <v>0</v>
      </c>
      <c r="F6" s="7">
        <f ca="1"/>
        <v>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ht="18" customHeight="1" thickBot="1" x14ac:dyDescent="0.3">
      <c r="A7" s="5"/>
      <c r="B7" s="13">
        <v>3</v>
      </c>
      <c r="C7" s="18"/>
      <c r="D7" s="13" t="str">
        <f ca="1"/>
        <v>Ellena</v>
      </c>
      <c r="E7" s="14">
        <f ca="1"/>
        <v>0</v>
      </c>
      <c r="F7" s="14">
        <f ca="1"/>
        <v>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ht="18" customHeight="1" x14ac:dyDescent="0.25">
      <c r="A8" s="5"/>
      <c r="B8" s="6">
        <v>4</v>
      </c>
      <c r="C8" s="17"/>
      <c r="D8" s="6" t="str">
        <f ca="1"/>
        <v>George</v>
      </c>
      <c r="E8" s="7">
        <f ca="1"/>
        <v>0</v>
      </c>
      <c r="F8" s="7">
        <f ca="1"/>
        <v>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ht="18" customHeight="1" x14ac:dyDescent="0.25">
      <c r="A9" s="5"/>
      <c r="B9" s="2">
        <v>5</v>
      </c>
      <c r="C9" s="16"/>
      <c r="D9" s="6" t="str">
        <f ca="1"/>
        <v>Harry</v>
      </c>
      <c r="E9" s="7">
        <f ca="1"/>
        <v>0</v>
      </c>
      <c r="F9" s="7">
        <f ca="1"/>
        <v>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ht="18" customHeight="1" x14ac:dyDescent="0.25">
      <c r="A10" s="5"/>
      <c r="B10" s="2">
        <v>6</v>
      </c>
      <c r="C10" s="16"/>
      <c r="D10" s="6" t="str">
        <f ca="1"/>
        <v>Nicola</v>
      </c>
      <c r="E10" s="7">
        <f ca="1"/>
        <v>0</v>
      </c>
      <c r="F10" s="7">
        <f ca="1"/>
        <v>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ht="18" customHeight="1" x14ac:dyDescent="0.25">
      <c r="A11" s="5"/>
      <c r="B11" s="2">
        <v>7</v>
      </c>
      <c r="C11" s="16"/>
      <c r="D11" s="6" t="str">
        <f ca="1"/>
        <v>Reece</v>
      </c>
      <c r="E11" s="7">
        <f ca="1"/>
        <v>0</v>
      </c>
      <c r="F11" s="7">
        <f ca="1"/>
        <v>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ht="18" customHeight="1" x14ac:dyDescent="0.25">
      <c r="A12" s="5"/>
      <c r="B12" s="2">
        <v>8</v>
      </c>
      <c r="C12" s="16"/>
      <c r="D12" s="6" t="str">
        <f ca="1"/>
        <v>Rory</v>
      </c>
      <c r="E12" s="7">
        <f ca="1"/>
        <v>0</v>
      </c>
      <c r="F12" s="7">
        <f ca="1"/>
        <v>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ht="18" customHeight="1" x14ac:dyDescent="0.25">
      <c r="A13" s="5"/>
      <c r="B13" s="2">
        <v>9</v>
      </c>
      <c r="C13" s="16"/>
      <c r="D13" s="6" t="str">
        <f ca="1"/>
        <v>Ruby</v>
      </c>
      <c r="E13" s="7">
        <f ca="1"/>
        <v>0</v>
      </c>
      <c r="F13" s="7">
        <f ca="1"/>
        <v>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ht="18" customHeight="1" x14ac:dyDescent="0.25">
      <c r="A14" s="5"/>
      <c r="B14" s="2">
        <v>10</v>
      </c>
      <c r="C14" s="16"/>
      <c r="D14" s="6" t="str">
        <f ca="1"/>
        <v>Sam A</v>
      </c>
      <c r="E14" s="7">
        <f ca="1"/>
        <v>0</v>
      </c>
      <c r="F14" s="7">
        <f ca="1"/>
        <v>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ht="18" customHeight="1" x14ac:dyDescent="0.25">
      <c r="A15" s="5"/>
      <c r="B15" s="2">
        <v>11</v>
      </c>
      <c r="C15" s="16"/>
      <c r="D15" s="6" t="str">
        <f ca="1"/>
        <v>Sam L</v>
      </c>
      <c r="E15" s="7">
        <f ca="1"/>
        <v>0</v>
      </c>
      <c r="F15" s="7">
        <f ca="1"/>
        <v>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ht="18" customHeight="1" x14ac:dyDescent="0.25">
      <c r="A16" s="5"/>
      <c r="B16" s="2">
        <v>12</v>
      </c>
      <c r="C16" s="16"/>
      <c r="D16" s="6" t="str">
        <f ca="1"/>
        <v>Will</v>
      </c>
      <c r="E16" s="7">
        <f ca="1"/>
        <v>0</v>
      </c>
      <c r="F16" s="7">
        <f ca="1"/>
        <v>0</v>
      </c>
      <c r="G16" s="31"/>
      <c r="H16" s="3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25">
      <c r="A17" s="5"/>
      <c r="B17" s="2">
        <v>13</v>
      </c>
      <c r="C17" s="16"/>
      <c r="D17" s="6" t="str">
        <f ca="1"/>
        <v>Caius</v>
      </c>
      <c r="E17" s="7">
        <f ca="1"/>
        <v>0</v>
      </c>
      <c r="F17" s="7">
        <f ca="1"/>
        <v>0</v>
      </c>
      <c r="G17" s="31"/>
      <c r="H17" s="3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5">
      <c r="A18" s="5"/>
      <c r="B18" s="5"/>
      <c r="C18" s="31"/>
      <c r="D18" s="31" t="e">
        <f ca="1"/>
        <v>#N/A</v>
      </c>
      <c r="E18" s="31">
        <f ca="1"/>
        <v>0</v>
      </c>
      <c r="F18" s="31">
        <f ca="1"/>
        <v>0</v>
      </c>
      <c r="G18" s="31"/>
      <c r="H18" s="3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x14ac:dyDescent="0.25">
      <c r="A19" s="5"/>
      <c r="B19" s="5"/>
      <c r="C19" s="31"/>
      <c r="D19" s="31" t="e">
        <f ca="1"/>
        <v>#N/A</v>
      </c>
      <c r="E19" s="31">
        <f ca="1"/>
        <v>0</v>
      </c>
      <c r="F19" s="31">
        <f ca="1"/>
        <v>0</v>
      </c>
      <c r="G19" s="31"/>
      <c r="H19" s="3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5">
      <c r="A20" s="5"/>
      <c r="B20" s="5"/>
      <c r="C20" s="31"/>
      <c r="D20" s="31" t="e">
        <f ca="1"/>
        <v>#N/A</v>
      </c>
      <c r="E20" s="31">
        <f ca="1"/>
        <v>0</v>
      </c>
      <c r="F20" s="31">
        <f ca="1"/>
        <v>0</v>
      </c>
      <c r="G20" s="31"/>
      <c r="H20" s="3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25">
      <c r="A21" s="5"/>
      <c r="B21" s="5"/>
      <c r="C21" s="31"/>
      <c r="D21" s="31" t="e">
        <f ca="1"/>
        <v>#N/A</v>
      </c>
      <c r="E21" s="31">
        <f ca="1"/>
        <v>0</v>
      </c>
      <c r="F21" s="31">
        <f ca="1"/>
        <v>0</v>
      </c>
      <c r="G21" s="31"/>
      <c r="H21" s="3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5">
      <c r="A22" s="5"/>
      <c r="B22" s="5"/>
      <c r="C22" s="31"/>
      <c r="D22" s="31" t="e">
        <f ca="1"/>
        <v>#N/A</v>
      </c>
      <c r="E22" s="31">
        <f ca="1"/>
        <v>0</v>
      </c>
      <c r="F22" s="31">
        <f ca="1"/>
        <v>0</v>
      </c>
      <c r="G22" s="31"/>
      <c r="H22" s="3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25">
      <c r="A23" s="5"/>
      <c r="B23" s="5"/>
      <c r="C23" s="31"/>
      <c r="D23" s="31" t="e">
        <f ca="1"/>
        <v>#N/A</v>
      </c>
      <c r="E23" s="31">
        <f ca="1"/>
        <v>0</v>
      </c>
      <c r="F23" s="31">
        <f ca="1"/>
        <v>0</v>
      </c>
      <c r="G23" s="31"/>
      <c r="H23" s="3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5">
      <c r="A24" s="5"/>
      <c r="B24" s="5"/>
      <c r="C24" s="31"/>
      <c r="D24" s="31" t="e">
        <f ca="1"/>
        <v>#N/A</v>
      </c>
      <c r="E24" s="31">
        <f ca="1"/>
        <v>0</v>
      </c>
      <c r="F24" s="31">
        <f ca="1"/>
        <v>0</v>
      </c>
      <c r="G24" s="31"/>
      <c r="H24" s="3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x14ac:dyDescent="0.25">
      <c r="A25" s="5"/>
      <c r="B25" s="5"/>
      <c r="C25" s="31"/>
      <c r="D25" s="31" t="e">
        <f ca="1"/>
        <v>#N/A</v>
      </c>
      <c r="E25" s="31">
        <f ca="1"/>
        <v>0</v>
      </c>
      <c r="F25" s="31">
        <f ca="1"/>
        <v>0</v>
      </c>
      <c r="G25" s="31"/>
      <c r="H25" s="3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5">
      <c r="A26" s="5"/>
      <c r="B26" s="5"/>
      <c r="C26" s="31"/>
      <c r="D26" s="31"/>
      <c r="E26" s="31"/>
      <c r="F26" s="31"/>
      <c r="G26" s="31"/>
      <c r="H26" s="3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</sheetData>
  <sortState xmlns:xlrd2="http://schemas.microsoft.com/office/spreadsheetml/2017/richdata2" ref="C5:E10">
    <sortCondition descending="1" ref="E4:E10"/>
  </sortState>
  <mergeCells count="1">
    <mergeCell ref="A1:D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BE47-36F3-4BEB-B95F-A968F1FF956B}">
  <dimension ref="B2:X186"/>
  <sheetViews>
    <sheetView tabSelected="1" topLeftCell="A161" workbookViewId="0">
      <selection activeCell="M187" sqref="M187"/>
    </sheetView>
  </sheetViews>
  <sheetFormatPr defaultRowHeight="15" x14ac:dyDescent="0.25"/>
  <cols>
    <col min="2" max="2" width="18.42578125" customWidth="1"/>
    <col min="14" max="14" width="12.140625" customWidth="1"/>
    <col min="18" max="18" width="13" customWidth="1"/>
    <col min="24" max="24" width="12.7109375" customWidth="1"/>
  </cols>
  <sheetData>
    <row r="2" spans="2:15" x14ac:dyDescent="0.25">
      <c r="B2" t="s">
        <v>95</v>
      </c>
    </row>
    <row r="3" spans="2:15" x14ac:dyDescent="0.25">
      <c r="C3" t="s">
        <v>0</v>
      </c>
      <c r="D3" t="s">
        <v>108</v>
      </c>
      <c r="E3" t="s">
        <v>3</v>
      </c>
      <c r="F3" t="s">
        <v>115</v>
      </c>
      <c r="G3" t="s">
        <v>53</v>
      </c>
      <c r="H3" t="s">
        <v>109</v>
      </c>
      <c r="I3" t="s">
        <v>2</v>
      </c>
      <c r="J3" t="s">
        <v>5</v>
      </c>
      <c r="K3" t="s">
        <v>54</v>
      </c>
      <c r="L3" t="s">
        <v>114</v>
      </c>
      <c r="M3" t="s">
        <v>112</v>
      </c>
      <c r="N3" t="s">
        <v>110</v>
      </c>
      <c r="O3" t="s">
        <v>116</v>
      </c>
    </row>
    <row r="4" spans="2:15" x14ac:dyDescent="0.25">
      <c r="C4" s="26" t="str" cm="1">
        <f t="array" aca="1" ref="C4" ca="1">IF(INDIRECT("Sheet2!S" &amp; 9 + (ROW(C4)-ROW($C$4))*7)=0, "", INDIRECT("Sheet2!S" &amp; 9 + (ROW(C4)-ROW($C$4))*7))</f>
        <v/>
      </c>
      <c r="D4" s="27" t="str" cm="1">
        <f t="array" aca="1" ref="D4" ca="1">IF(INDIRECT("Sheet2!T" &amp; 9 + (ROW(D4)-ROW($C$4))*7)=0, "", INDIRECT("Sheet2!T" &amp; 9 + (ROW(D4)-ROW($C$4))*7))</f>
        <v/>
      </c>
      <c r="E4" s="27" t="str" cm="1">
        <f t="array" aca="1" ref="E4" ca="1">IF(INDIRECT("Sheet2!U" &amp; 9 + (ROW(E4)-ROW($C$4))*7)=0, "", INDIRECT("Sheet2!U" &amp; 9 + (ROW(E4)-ROW($C$4))*7))</f>
        <v/>
      </c>
      <c r="F4" s="27" t="str" cm="1">
        <f t="array" aca="1" ref="F4" ca="1">IF(INDIRECT("Sheet2!V" &amp; 9 + (ROW(F4)-ROW($C$4))*7)=0, "", INDIRECT("Sheet2!V" &amp; 9 + (ROW(F4)-ROW($C$4))*7))</f>
        <v/>
      </c>
      <c r="G4" s="27" t="str" cm="1">
        <f t="array" aca="1" ref="G4" ca="1">IF(INDIRECT("Sheet2!W" &amp; 9 + (ROW(G4)-ROW($C$4))*7)=0, "", INDIRECT("Sheet2!W" &amp; 9 + (ROW(G4)-ROW($C$4))*7))</f>
        <v/>
      </c>
      <c r="H4" s="27" t="str" cm="1">
        <f t="array" aca="1" ref="H4" ca="1">IF(INDIRECT("Sheet2!X" &amp; 9 + (ROW(H4)-ROW($C$4))*7)=0, "", INDIRECT("Sheet2!X" &amp; 9 + (ROW(H4)-ROW($C$4))*7))</f>
        <v/>
      </c>
      <c r="I4" s="27" t="str" cm="1">
        <f t="array" aca="1" ref="I4" ca="1">IF(INDIRECT("Sheet2!Y" &amp; 9 + (ROW(I4)-ROW($C$4))*7)=0, "", INDIRECT("Sheet2!Y" &amp; 9 + (ROW(I4)-ROW($C$4))*7))</f>
        <v/>
      </c>
      <c r="J4" s="27" t="str" cm="1">
        <f t="array" aca="1" ref="J4" ca="1">IF(INDIRECT("Sheet2!Z" &amp; 9 + (ROW(J4)-ROW($C$4))*7)=0, "", INDIRECT("Sheet2!Z" &amp; 9 + (ROW(J4)-ROW($C$4))*7))</f>
        <v/>
      </c>
      <c r="K4" s="27" t="str" cm="1">
        <f t="array" aca="1" ref="K4" ca="1">IF(INDIRECT("Sheet2!AA" &amp; 9 + (ROW(K4)-ROW($C$4))*7)=0, "", INDIRECT("Sheet2!AA" &amp; 9 + (ROW(K4)-ROW($C$4))*7))</f>
        <v/>
      </c>
      <c r="L4" s="27" t="str" cm="1">
        <f t="array" aca="1" ref="L4" ca="1">IF(INDIRECT("Sheet2!AB" &amp; 9 + (ROW(L4)-ROW($C$4))*7)=0, "", INDIRECT("Sheet2!AB" &amp; 9 + (ROW(L4)-ROW($C$4))*7))</f>
        <v/>
      </c>
      <c r="M4" s="27" t="str" cm="1">
        <f t="array" aca="1" ref="M4" ca="1">IF(INDIRECT("Sheet2!AC" &amp; 9 + (ROW(M4)-ROW($C$4))*7)=0, "", INDIRECT("Sheet2!AC" &amp; 9 + (ROW(M4)-ROW($C$4))*7))</f>
        <v/>
      </c>
      <c r="N4" s="27" t="str" cm="1">
        <f t="array" aca="1" ref="N4" ca="1">IF(INDIRECT("Sheet2!AD" &amp; 9 + (ROW(N4)-ROW($C$4))*7)=0, "", INDIRECT("Sheet2!AD" &amp; 9 + (ROW(N4)-ROW($C$4))*7))</f>
        <v/>
      </c>
      <c r="O4" s="27" t="str" cm="1">
        <f t="array" aca="1" ref="O4" ca="1">IF(INDIRECT("Sheet2!AE" &amp; 9 + (ROW(O4)-ROW($C$4))*7)=0, "", INDIRECT("Sheet2!AE" &amp; 9 + (ROW(O4)-ROW($C$4))*7))</f>
        <v/>
      </c>
    </row>
    <row r="5" spans="2:15" x14ac:dyDescent="0.25">
      <c r="C5" s="28" t="str" cm="1">
        <f t="array" aca="1" ref="C5" ca="1">IF(INDIRECT("Sheet2!S" &amp; 9 + (ROW(C5)-ROW($C$4))*7)=0, "", INDIRECT("Sheet2!S" &amp; 9 + (ROW(C5)-ROW($C$4))*7))</f>
        <v/>
      </c>
      <c r="D5" t="str" cm="1">
        <f t="array" aca="1" ref="D5" ca="1">IF(INDIRECT("Sheet2!T" &amp; 9 + (ROW(D5)-ROW($C$4))*7)=0, "", INDIRECT("Sheet2!T" &amp; 9 + (ROW(D5)-ROW($C$4))*7))</f>
        <v/>
      </c>
      <c r="E5" t="str" cm="1">
        <f t="array" aca="1" ref="E5" ca="1">IF(INDIRECT("Sheet2!U" &amp; 9 + (ROW(E5)-ROW($C$4))*7)=0, "", INDIRECT("Sheet2!U" &amp; 9 + (ROW(E5)-ROW($C$4))*7))</f>
        <v/>
      </c>
      <c r="F5" t="str" cm="1">
        <f t="array" aca="1" ref="F5" ca="1">IF(INDIRECT("Sheet2!V" &amp; 9 + (ROW(F5)-ROW($C$4))*7)=0, "", INDIRECT("Sheet2!V" &amp; 9 + (ROW(F5)-ROW($C$4))*7))</f>
        <v/>
      </c>
      <c r="G5" t="str" cm="1">
        <f t="array" aca="1" ref="G5" ca="1">IF(INDIRECT("Sheet2!W" &amp; 9 + (ROW(G5)-ROW($C$4))*7)=0, "", INDIRECT("Sheet2!W" &amp; 9 + (ROW(G5)-ROW($C$4))*7))</f>
        <v/>
      </c>
      <c r="H5" t="str" cm="1">
        <f t="array" aca="1" ref="H5" ca="1">IF(INDIRECT("Sheet2!X" &amp; 9 + (ROW(H5)-ROW($C$4))*7)=0, "", INDIRECT("Sheet2!X" &amp; 9 + (ROW(H5)-ROW($C$4))*7))</f>
        <v/>
      </c>
      <c r="I5" t="str" cm="1">
        <f t="array" aca="1" ref="I5" ca="1">IF(INDIRECT("Sheet2!Y" &amp; 9 + (ROW(I5)-ROW($C$4))*7)=0, "", INDIRECT("Sheet2!Y" &amp; 9 + (ROW(I5)-ROW($C$4))*7))</f>
        <v/>
      </c>
      <c r="J5" t="str" cm="1">
        <f t="array" aca="1" ref="J5" ca="1">IF(INDIRECT("Sheet2!Z" &amp; 9 + (ROW(J5)-ROW($C$4))*7)=0, "", INDIRECT("Sheet2!Z" &amp; 9 + (ROW(J5)-ROW($C$4))*7))</f>
        <v/>
      </c>
      <c r="K5" t="str" cm="1">
        <f t="array" aca="1" ref="K5" ca="1">IF(INDIRECT("Sheet2!AA" &amp; 9 + (ROW(K5)-ROW($C$4))*7)=0, "", INDIRECT("Sheet2!AA" &amp; 9 + (ROW(K5)-ROW($C$4))*7))</f>
        <v/>
      </c>
      <c r="L5" t="str" cm="1">
        <f t="array" aca="1" ref="L5" ca="1">IF(INDIRECT("Sheet2!AB" &amp; 9 + (ROW(L5)-ROW($C$4))*7)=0, "", INDIRECT("Sheet2!AB" &amp; 9 + (ROW(L5)-ROW($C$4))*7))</f>
        <v/>
      </c>
      <c r="M5" t="str" cm="1">
        <f t="array" aca="1" ref="M5" ca="1">IF(INDIRECT("Sheet2!AC" &amp; 9 + (ROW(M5)-ROW($C$4))*7)=0, "", INDIRECT("Sheet2!AC" &amp; 9 + (ROW(M5)-ROW($C$4))*7))</f>
        <v/>
      </c>
      <c r="N5" t="str" cm="1">
        <f t="array" aca="1" ref="N5" ca="1">IF(INDIRECT("Sheet2!AD" &amp; 9 + (ROW(N5)-ROW($C$4))*7)=0, "", INDIRECT("Sheet2!AD" &amp; 9 + (ROW(N5)-ROW($C$4))*7))</f>
        <v/>
      </c>
      <c r="O5" t="str" cm="1">
        <f t="array" aca="1" ref="O5" ca="1">IF(INDIRECT("Sheet2!AE" &amp; 9 + (ROW(O5)-ROW($C$4))*7)=0, "", INDIRECT("Sheet2!AE" &amp; 9 + (ROW(O5)-ROW($C$4))*7))</f>
        <v/>
      </c>
    </row>
    <row r="6" spans="2:15" x14ac:dyDescent="0.25">
      <c r="C6" s="28" t="str" cm="1">
        <f t="array" aca="1" ref="C6" ca="1">IF(INDIRECT("Sheet2!S" &amp; 9 + (ROW(C6)-ROW($C$4))*7)=0, "", INDIRECT("Sheet2!S" &amp; 9 + (ROW(C6)-ROW($C$4))*7))</f>
        <v/>
      </c>
      <c r="D6" t="str" cm="1">
        <f t="array" aca="1" ref="D6" ca="1">IF(INDIRECT("Sheet2!T" &amp; 9 + (ROW(D6)-ROW($C$4))*7)=0, "", INDIRECT("Sheet2!T" &amp; 9 + (ROW(D6)-ROW($C$4))*7))</f>
        <v/>
      </c>
      <c r="E6" t="str" cm="1">
        <f t="array" aca="1" ref="E6" ca="1">IF(INDIRECT("Sheet2!U" &amp; 9 + (ROW(E6)-ROW($C$4))*7)=0, "", INDIRECT("Sheet2!U" &amp; 9 + (ROW(E6)-ROW($C$4))*7))</f>
        <v/>
      </c>
      <c r="F6" t="str" cm="1">
        <f t="array" aca="1" ref="F6" ca="1">IF(INDIRECT("Sheet2!V" &amp; 9 + (ROW(F6)-ROW($C$4))*7)=0, "", INDIRECT("Sheet2!V" &amp; 9 + (ROW(F6)-ROW($C$4))*7))</f>
        <v/>
      </c>
      <c r="G6" t="str" cm="1">
        <f t="array" aca="1" ref="G6" ca="1">IF(INDIRECT("Sheet2!W" &amp; 9 + (ROW(G6)-ROW($C$4))*7)=0, "", INDIRECT("Sheet2!W" &amp; 9 + (ROW(G6)-ROW($C$4))*7))</f>
        <v/>
      </c>
      <c r="H6" t="str" cm="1">
        <f t="array" aca="1" ref="H6" ca="1">IF(INDIRECT("Sheet2!X" &amp; 9 + (ROW(H6)-ROW($C$4))*7)=0, "", INDIRECT("Sheet2!X" &amp; 9 + (ROW(H6)-ROW($C$4))*7))</f>
        <v/>
      </c>
      <c r="I6" t="str" cm="1">
        <f t="array" aca="1" ref="I6" ca="1">IF(INDIRECT("Sheet2!Y" &amp; 9 + (ROW(I6)-ROW($C$4))*7)=0, "", INDIRECT("Sheet2!Y" &amp; 9 + (ROW(I6)-ROW($C$4))*7))</f>
        <v/>
      </c>
      <c r="J6" t="str" cm="1">
        <f t="array" aca="1" ref="J6" ca="1">IF(INDIRECT("Sheet2!Z" &amp; 9 + (ROW(J6)-ROW($C$4))*7)=0, "", INDIRECT("Sheet2!Z" &amp; 9 + (ROW(J6)-ROW($C$4))*7))</f>
        <v/>
      </c>
      <c r="K6" t="str" cm="1">
        <f t="array" aca="1" ref="K6" ca="1">IF(INDIRECT("Sheet2!AA" &amp; 9 + (ROW(K6)-ROW($C$4))*7)=0, "", INDIRECT("Sheet2!AA" &amp; 9 + (ROW(K6)-ROW($C$4))*7))</f>
        <v/>
      </c>
      <c r="L6" t="str" cm="1">
        <f t="array" aca="1" ref="L6" ca="1">IF(INDIRECT("Sheet2!AB" &amp; 9 + (ROW(L6)-ROW($C$4))*7)=0, "", INDIRECT("Sheet2!AB" &amp; 9 + (ROW(L6)-ROW($C$4))*7))</f>
        <v/>
      </c>
      <c r="M6" t="str" cm="1">
        <f t="array" aca="1" ref="M6" ca="1">IF(INDIRECT("Sheet2!AC" &amp; 9 + (ROW(M6)-ROW($C$4))*7)=0, "", INDIRECT("Sheet2!AC" &amp; 9 + (ROW(M6)-ROW($C$4))*7))</f>
        <v/>
      </c>
      <c r="N6" t="str" cm="1">
        <f t="array" aca="1" ref="N6" ca="1">IF(INDIRECT("Sheet2!AD" &amp; 9 + (ROW(N6)-ROW($C$4))*7)=0, "", INDIRECT("Sheet2!AD" &amp; 9 + (ROW(N6)-ROW($C$4))*7))</f>
        <v/>
      </c>
      <c r="O6" t="str" cm="1">
        <f t="array" aca="1" ref="O6" ca="1">IF(INDIRECT("Sheet2!AE" &amp; 9 + (ROW(O6)-ROW($C$4))*7)=0, "", INDIRECT("Sheet2!AE" &amp; 9 + (ROW(O6)-ROW($C$4))*7))</f>
        <v/>
      </c>
    </row>
    <row r="7" spans="2:15" x14ac:dyDescent="0.25">
      <c r="C7" s="28" t="str" cm="1">
        <f t="array" aca="1" ref="C7" ca="1">IF(INDIRECT("Sheet2!S" &amp; 9 + (ROW(C7)-ROW($C$4))*7)=0, "", INDIRECT("Sheet2!S" &amp; 9 + (ROW(C7)-ROW($C$4))*7))</f>
        <v/>
      </c>
      <c r="D7" t="str" cm="1">
        <f t="array" aca="1" ref="D7" ca="1">IF(INDIRECT("Sheet2!T" &amp; 9 + (ROW(D7)-ROW($C$4))*7)=0, "", INDIRECT("Sheet2!T" &amp; 9 + (ROW(D7)-ROW($C$4))*7))</f>
        <v/>
      </c>
      <c r="E7" t="str" cm="1">
        <f t="array" aca="1" ref="E7" ca="1">IF(INDIRECT("Sheet2!U" &amp; 9 + (ROW(E7)-ROW($C$4))*7)=0, "", INDIRECT("Sheet2!U" &amp; 9 + (ROW(E7)-ROW($C$4))*7))</f>
        <v/>
      </c>
      <c r="F7" t="str" cm="1">
        <f t="array" aca="1" ref="F7" ca="1">IF(INDIRECT("Sheet2!V" &amp; 9 + (ROW(F7)-ROW($C$4))*7)=0, "", INDIRECT("Sheet2!V" &amp; 9 + (ROW(F7)-ROW($C$4))*7))</f>
        <v/>
      </c>
      <c r="G7" t="str" cm="1">
        <f t="array" aca="1" ref="G7" ca="1">IF(INDIRECT("Sheet2!W" &amp; 9 + (ROW(G7)-ROW($C$4))*7)=0, "", INDIRECT("Sheet2!W" &amp; 9 + (ROW(G7)-ROW($C$4))*7))</f>
        <v/>
      </c>
      <c r="H7" t="str" cm="1">
        <f t="array" aca="1" ref="H7" ca="1">IF(INDIRECT("Sheet2!X" &amp; 9 + (ROW(H7)-ROW($C$4))*7)=0, "", INDIRECT("Sheet2!X" &amp; 9 + (ROW(H7)-ROW($C$4))*7))</f>
        <v/>
      </c>
      <c r="I7" t="str" cm="1">
        <f t="array" aca="1" ref="I7" ca="1">IF(INDIRECT("Sheet2!Y" &amp; 9 + (ROW(I7)-ROW($C$4))*7)=0, "", INDIRECT("Sheet2!Y" &amp; 9 + (ROW(I7)-ROW($C$4))*7))</f>
        <v/>
      </c>
      <c r="J7" t="str" cm="1">
        <f t="array" aca="1" ref="J7" ca="1">IF(INDIRECT("Sheet2!Z" &amp; 9 + (ROW(J7)-ROW($C$4))*7)=0, "", INDIRECT("Sheet2!Z" &amp; 9 + (ROW(J7)-ROW($C$4))*7))</f>
        <v/>
      </c>
      <c r="K7" t="str" cm="1">
        <f t="array" aca="1" ref="K7" ca="1">IF(INDIRECT("Sheet2!AA" &amp; 9 + (ROW(K7)-ROW($C$4))*7)=0, "", INDIRECT("Sheet2!AA" &amp; 9 + (ROW(K7)-ROW($C$4))*7))</f>
        <v/>
      </c>
      <c r="L7" t="str" cm="1">
        <f t="array" aca="1" ref="L7" ca="1">IF(INDIRECT("Sheet2!AB" &amp; 9 + (ROW(L7)-ROW($C$4))*7)=0, "", INDIRECT("Sheet2!AB" &amp; 9 + (ROW(L7)-ROW($C$4))*7))</f>
        <v/>
      </c>
      <c r="M7" t="str" cm="1">
        <f t="array" aca="1" ref="M7" ca="1">IF(INDIRECT("Sheet2!AC" &amp; 9 + (ROW(M7)-ROW($C$4))*7)=0, "", INDIRECT("Sheet2!AC" &amp; 9 + (ROW(M7)-ROW($C$4))*7))</f>
        <v/>
      </c>
      <c r="N7" t="str" cm="1">
        <f t="array" aca="1" ref="N7" ca="1">IF(INDIRECT("Sheet2!AD" &amp; 9 + (ROW(N7)-ROW($C$4))*7)=0, "", INDIRECT("Sheet2!AD" &amp; 9 + (ROW(N7)-ROW($C$4))*7))</f>
        <v/>
      </c>
      <c r="O7" t="str" cm="1">
        <f t="array" aca="1" ref="O7" ca="1">IF(INDIRECT("Sheet2!AE" &amp; 9 + (ROW(O7)-ROW($C$4))*7)=0, "", INDIRECT("Sheet2!AE" &amp; 9 + (ROW(O7)-ROW($C$4))*7))</f>
        <v/>
      </c>
    </row>
    <row r="8" spans="2:15" x14ac:dyDescent="0.25">
      <c r="C8" s="28" t="str" cm="1">
        <f t="array" aca="1" ref="C8" ca="1">IF(INDIRECT("Sheet2!S" &amp; 9 + (ROW(C8)-ROW($C$4))*7)=0, "", INDIRECT("Sheet2!S" &amp; 9 + (ROW(C8)-ROW($C$4))*7))</f>
        <v/>
      </c>
      <c r="D8" t="str" cm="1">
        <f t="array" aca="1" ref="D8" ca="1">IF(INDIRECT("Sheet2!T" &amp; 9 + (ROW(D8)-ROW($C$4))*7)=0, "", INDIRECT("Sheet2!T" &amp; 9 + (ROW(D8)-ROW($C$4))*7))</f>
        <v/>
      </c>
      <c r="E8" t="str" cm="1">
        <f t="array" aca="1" ref="E8" ca="1">IF(INDIRECT("Sheet2!U" &amp; 9 + (ROW(E8)-ROW($C$4))*7)=0, "", INDIRECT("Sheet2!U" &amp; 9 + (ROW(E8)-ROW($C$4))*7))</f>
        <v/>
      </c>
      <c r="F8" t="str" cm="1">
        <f t="array" aca="1" ref="F8" ca="1">IF(INDIRECT("Sheet2!V" &amp; 9 + (ROW(F8)-ROW($C$4))*7)=0, "", INDIRECT("Sheet2!V" &amp; 9 + (ROW(F8)-ROW($C$4))*7))</f>
        <v/>
      </c>
      <c r="G8" t="str" cm="1">
        <f t="array" aca="1" ref="G8" ca="1">IF(INDIRECT("Sheet2!W" &amp; 9 + (ROW(G8)-ROW($C$4))*7)=0, "", INDIRECT("Sheet2!W" &amp; 9 + (ROW(G8)-ROW($C$4))*7))</f>
        <v/>
      </c>
      <c r="H8" t="str" cm="1">
        <f t="array" aca="1" ref="H8" ca="1">IF(INDIRECT("Sheet2!X" &amp; 9 + (ROW(H8)-ROW($C$4))*7)=0, "", INDIRECT("Sheet2!X" &amp; 9 + (ROW(H8)-ROW($C$4))*7))</f>
        <v/>
      </c>
      <c r="I8" t="str" cm="1">
        <f t="array" aca="1" ref="I8" ca="1">IF(INDIRECT("Sheet2!Y" &amp; 9 + (ROW(I8)-ROW($C$4))*7)=0, "", INDIRECT("Sheet2!Y" &amp; 9 + (ROW(I8)-ROW($C$4))*7))</f>
        <v/>
      </c>
      <c r="J8" t="str" cm="1">
        <f t="array" aca="1" ref="J8" ca="1">IF(INDIRECT("Sheet2!Z" &amp; 9 + (ROW(J8)-ROW($C$4))*7)=0, "", INDIRECT("Sheet2!Z" &amp; 9 + (ROW(J8)-ROW($C$4))*7))</f>
        <v/>
      </c>
      <c r="K8" t="str" cm="1">
        <f t="array" aca="1" ref="K8" ca="1">IF(INDIRECT("Sheet2!AA" &amp; 9 + (ROW(K8)-ROW($C$4))*7)=0, "", INDIRECT("Sheet2!AA" &amp; 9 + (ROW(K8)-ROW($C$4))*7))</f>
        <v/>
      </c>
      <c r="L8" t="str" cm="1">
        <f t="array" aca="1" ref="L8" ca="1">IF(INDIRECT("Sheet2!AB" &amp; 9 + (ROW(L8)-ROW($C$4))*7)=0, "", INDIRECT("Sheet2!AB" &amp; 9 + (ROW(L8)-ROW($C$4))*7))</f>
        <v/>
      </c>
      <c r="M8" t="str" cm="1">
        <f t="array" aca="1" ref="M8" ca="1">IF(INDIRECT("Sheet2!AC" &amp; 9 + (ROW(M8)-ROW($C$4))*7)=0, "", INDIRECT("Sheet2!AC" &amp; 9 + (ROW(M8)-ROW($C$4))*7))</f>
        <v/>
      </c>
      <c r="N8" t="str" cm="1">
        <f t="array" aca="1" ref="N8" ca="1">IF(INDIRECT("Sheet2!AD" &amp; 9 + (ROW(N8)-ROW($C$4))*7)=0, "", INDIRECT("Sheet2!AD" &amp; 9 + (ROW(N8)-ROW($C$4))*7))</f>
        <v/>
      </c>
      <c r="O8" t="str" cm="1">
        <f t="array" aca="1" ref="O8" ca="1">IF(INDIRECT("Sheet2!AE" &amp; 9 + (ROW(O8)-ROW($C$4))*7)=0, "", INDIRECT("Sheet2!AE" &amp; 9 + (ROW(O8)-ROW($C$4))*7))</f>
        <v/>
      </c>
    </row>
    <row r="9" spans="2:15" x14ac:dyDescent="0.25">
      <c r="C9" s="28" t="str" cm="1">
        <f t="array" aca="1" ref="C9" ca="1">IF(INDIRECT("Sheet2!S" &amp; 9 + (ROW(C9)-ROW($C$4))*7)=0, "", INDIRECT("Sheet2!S" &amp; 9 + (ROW(C9)-ROW($C$4))*7))</f>
        <v/>
      </c>
      <c r="D9" t="str" cm="1">
        <f t="array" aca="1" ref="D9" ca="1">IF(INDIRECT("Sheet2!T" &amp; 9 + (ROW(D9)-ROW($C$4))*7)=0, "", INDIRECT("Sheet2!T" &amp; 9 + (ROW(D9)-ROW($C$4))*7))</f>
        <v/>
      </c>
      <c r="E9" t="str" cm="1">
        <f t="array" aca="1" ref="E9" ca="1">IF(INDIRECT("Sheet2!U" &amp; 9 + (ROW(E9)-ROW($C$4))*7)=0, "", INDIRECT("Sheet2!U" &amp; 9 + (ROW(E9)-ROW($C$4))*7))</f>
        <v/>
      </c>
      <c r="F9" t="str" cm="1">
        <f t="array" aca="1" ref="F9" ca="1">IF(INDIRECT("Sheet2!V" &amp; 9 + (ROW(F9)-ROW($C$4))*7)=0, "", INDIRECT("Sheet2!V" &amp; 9 + (ROW(F9)-ROW($C$4))*7))</f>
        <v/>
      </c>
      <c r="G9" t="str" cm="1">
        <f t="array" aca="1" ref="G9" ca="1">IF(INDIRECT("Sheet2!W" &amp; 9 + (ROW(G9)-ROW($C$4))*7)=0, "", INDIRECT("Sheet2!W" &amp; 9 + (ROW(G9)-ROW($C$4))*7))</f>
        <v/>
      </c>
      <c r="H9" t="str" cm="1">
        <f t="array" aca="1" ref="H9" ca="1">IF(INDIRECT("Sheet2!X" &amp; 9 + (ROW(H9)-ROW($C$4))*7)=0, "", INDIRECT("Sheet2!X" &amp; 9 + (ROW(H9)-ROW($C$4))*7))</f>
        <v/>
      </c>
      <c r="I9" t="str" cm="1">
        <f t="array" aca="1" ref="I9" ca="1">IF(INDIRECT("Sheet2!Y" &amp; 9 + (ROW(I9)-ROW($C$4))*7)=0, "", INDIRECT("Sheet2!Y" &amp; 9 + (ROW(I9)-ROW($C$4))*7))</f>
        <v/>
      </c>
      <c r="J9" t="str" cm="1">
        <f t="array" aca="1" ref="J9" ca="1">IF(INDIRECT("Sheet2!Z" &amp; 9 + (ROW(J9)-ROW($C$4))*7)=0, "", INDIRECT("Sheet2!Z" &amp; 9 + (ROW(J9)-ROW($C$4))*7))</f>
        <v/>
      </c>
      <c r="K9" t="str" cm="1">
        <f t="array" aca="1" ref="K9" ca="1">IF(INDIRECT("Sheet2!AA" &amp; 9 + (ROW(K9)-ROW($C$4))*7)=0, "", INDIRECT("Sheet2!AA" &amp; 9 + (ROW(K9)-ROW($C$4))*7))</f>
        <v/>
      </c>
      <c r="L9" t="str" cm="1">
        <f t="array" aca="1" ref="L9" ca="1">IF(INDIRECT("Sheet2!AB" &amp; 9 + (ROW(L9)-ROW($C$4))*7)=0, "", INDIRECT("Sheet2!AB" &amp; 9 + (ROW(L9)-ROW($C$4))*7))</f>
        <v/>
      </c>
      <c r="M9" t="str" cm="1">
        <f t="array" aca="1" ref="M9" ca="1">IF(INDIRECT("Sheet2!AC" &amp; 9 + (ROW(M9)-ROW($C$4))*7)=0, "", INDIRECT("Sheet2!AC" &amp; 9 + (ROW(M9)-ROW($C$4))*7))</f>
        <v/>
      </c>
      <c r="N9" t="str" cm="1">
        <f t="array" aca="1" ref="N9" ca="1">IF(INDIRECT("Sheet2!AD" &amp; 9 + (ROW(N9)-ROW($C$4))*7)=0, "", INDIRECT("Sheet2!AD" &amp; 9 + (ROW(N9)-ROW($C$4))*7))</f>
        <v/>
      </c>
      <c r="O9" t="str" cm="1">
        <f t="array" aca="1" ref="O9" ca="1">IF(INDIRECT("Sheet2!AE" &amp; 9 + (ROW(O9)-ROW($C$4))*7)=0, "", INDIRECT("Sheet2!AE" &amp; 9 + (ROW(O9)-ROW($C$4))*7))</f>
        <v/>
      </c>
    </row>
    <row r="10" spans="2:15" x14ac:dyDescent="0.25">
      <c r="C10" s="28" t="str" cm="1">
        <f t="array" aca="1" ref="C10" ca="1">IF(INDIRECT("Sheet2!S" &amp; 9 + (ROW(C10)-ROW($C$4))*7)=0, "", INDIRECT("Sheet2!S" &amp; 9 + (ROW(C10)-ROW($C$4))*7))</f>
        <v/>
      </c>
      <c r="D10" t="str" cm="1">
        <f t="array" aca="1" ref="D10" ca="1">IF(INDIRECT("Sheet2!T" &amp; 9 + (ROW(D10)-ROW($C$4))*7)=0, "", INDIRECT("Sheet2!T" &amp; 9 + (ROW(D10)-ROW($C$4))*7))</f>
        <v/>
      </c>
      <c r="E10" t="str" cm="1">
        <f t="array" aca="1" ref="E10" ca="1">IF(INDIRECT("Sheet2!U" &amp; 9 + (ROW(E10)-ROW($C$4))*7)=0, "", INDIRECT("Sheet2!U" &amp; 9 + (ROW(E10)-ROW($C$4))*7))</f>
        <v/>
      </c>
      <c r="F10" t="str" cm="1">
        <f t="array" aca="1" ref="F10" ca="1">IF(INDIRECT("Sheet2!V" &amp; 9 + (ROW(F10)-ROW($C$4))*7)=0, "", INDIRECT("Sheet2!V" &amp; 9 + (ROW(F10)-ROW($C$4))*7))</f>
        <v/>
      </c>
      <c r="G10" t="str" cm="1">
        <f t="array" aca="1" ref="G10" ca="1">IF(INDIRECT("Sheet2!W" &amp; 9 + (ROW(G10)-ROW($C$4))*7)=0, "", INDIRECT("Sheet2!W" &amp; 9 + (ROW(G10)-ROW($C$4))*7))</f>
        <v/>
      </c>
      <c r="H10" t="str" cm="1">
        <f t="array" aca="1" ref="H10" ca="1">IF(INDIRECT("Sheet2!X" &amp; 9 + (ROW(H10)-ROW($C$4))*7)=0, "", INDIRECT("Sheet2!X" &amp; 9 + (ROW(H10)-ROW($C$4))*7))</f>
        <v/>
      </c>
      <c r="I10" t="str" cm="1">
        <f t="array" aca="1" ref="I10" ca="1">IF(INDIRECT("Sheet2!Y" &amp; 9 + (ROW(I10)-ROW($C$4))*7)=0, "", INDIRECT("Sheet2!Y" &amp; 9 + (ROW(I10)-ROW($C$4))*7))</f>
        <v/>
      </c>
      <c r="J10" t="str" cm="1">
        <f t="array" aca="1" ref="J10" ca="1">IF(INDIRECT("Sheet2!Z" &amp; 9 + (ROW(J10)-ROW($C$4))*7)=0, "", INDIRECT("Sheet2!Z" &amp; 9 + (ROW(J10)-ROW($C$4))*7))</f>
        <v/>
      </c>
      <c r="K10" t="str" cm="1">
        <f t="array" aca="1" ref="K10" ca="1">IF(INDIRECT("Sheet2!AA" &amp; 9 + (ROW(K10)-ROW($C$4))*7)=0, "", INDIRECT("Sheet2!AA" &amp; 9 + (ROW(K10)-ROW($C$4))*7))</f>
        <v/>
      </c>
      <c r="L10" t="str" cm="1">
        <f t="array" aca="1" ref="L10" ca="1">IF(INDIRECT("Sheet2!AB" &amp; 9 + (ROW(L10)-ROW($C$4))*7)=0, "", INDIRECT("Sheet2!AB" &amp; 9 + (ROW(L10)-ROW($C$4))*7))</f>
        <v/>
      </c>
      <c r="M10" t="str" cm="1">
        <f t="array" aca="1" ref="M10" ca="1">IF(INDIRECT("Sheet2!AC" &amp; 9 + (ROW(M10)-ROW($C$4))*7)=0, "", INDIRECT("Sheet2!AC" &amp; 9 + (ROW(M10)-ROW($C$4))*7))</f>
        <v/>
      </c>
      <c r="N10" t="str" cm="1">
        <f t="array" aca="1" ref="N10" ca="1">IF(INDIRECT("Sheet2!AD" &amp; 9 + (ROW(N10)-ROW($C$4))*7)=0, "", INDIRECT("Sheet2!AD" &amp; 9 + (ROW(N10)-ROW($C$4))*7))</f>
        <v/>
      </c>
      <c r="O10" t="str" cm="1">
        <f t="array" aca="1" ref="O10" ca="1">IF(INDIRECT("Sheet2!AE" &amp; 9 + (ROW(O10)-ROW($C$4))*7)=0, "", INDIRECT("Sheet2!AE" &amp; 9 + (ROW(O10)-ROW($C$4))*7))</f>
        <v/>
      </c>
    </row>
    <row r="11" spans="2:15" x14ac:dyDescent="0.25">
      <c r="C11" s="28" t="str" cm="1">
        <f t="array" aca="1" ref="C11" ca="1">IF(INDIRECT("Sheet2!S" &amp; 9 + (ROW(C11)-ROW($C$4))*7)=0, "", INDIRECT("Sheet2!S" &amp; 9 + (ROW(C11)-ROW($C$4))*7))</f>
        <v/>
      </c>
      <c r="D11" t="str" cm="1">
        <f t="array" aca="1" ref="D11" ca="1">IF(INDIRECT("Sheet2!T" &amp; 9 + (ROW(D11)-ROW($C$4))*7)=0, "", INDIRECT("Sheet2!T" &amp; 9 + (ROW(D11)-ROW($C$4))*7))</f>
        <v/>
      </c>
      <c r="E11" t="str" cm="1">
        <f t="array" aca="1" ref="E11" ca="1">IF(INDIRECT("Sheet2!U" &amp; 9 + (ROW(E11)-ROW($C$4))*7)=0, "", INDIRECT("Sheet2!U" &amp; 9 + (ROW(E11)-ROW($C$4))*7))</f>
        <v/>
      </c>
      <c r="F11" t="str" cm="1">
        <f t="array" aca="1" ref="F11" ca="1">IF(INDIRECT("Sheet2!V" &amp; 9 + (ROW(F11)-ROW($C$4))*7)=0, "", INDIRECT("Sheet2!V" &amp; 9 + (ROW(F11)-ROW($C$4))*7))</f>
        <v/>
      </c>
      <c r="G11" t="str" cm="1">
        <f t="array" aca="1" ref="G11" ca="1">IF(INDIRECT("Sheet2!W" &amp; 9 + (ROW(G11)-ROW($C$4))*7)=0, "", INDIRECT("Sheet2!W" &amp; 9 + (ROW(G11)-ROW($C$4))*7))</f>
        <v/>
      </c>
      <c r="H11" t="str" cm="1">
        <f t="array" aca="1" ref="H11" ca="1">IF(INDIRECT("Sheet2!X" &amp; 9 + (ROW(H11)-ROW($C$4))*7)=0, "", INDIRECT("Sheet2!X" &amp; 9 + (ROW(H11)-ROW($C$4))*7))</f>
        <v/>
      </c>
      <c r="I11" t="str" cm="1">
        <f t="array" aca="1" ref="I11" ca="1">IF(INDIRECT("Sheet2!Y" &amp; 9 + (ROW(I11)-ROW($C$4))*7)=0, "", INDIRECT("Sheet2!Y" &amp; 9 + (ROW(I11)-ROW($C$4))*7))</f>
        <v/>
      </c>
      <c r="J11" t="str" cm="1">
        <f t="array" aca="1" ref="J11" ca="1">IF(INDIRECT("Sheet2!Z" &amp; 9 + (ROW(J11)-ROW($C$4))*7)=0, "", INDIRECT("Sheet2!Z" &amp; 9 + (ROW(J11)-ROW($C$4))*7))</f>
        <v/>
      </c>
      <c r="K11" t="str" cm="1">
        <f t="array" aca="1" ref="K11" ca="1">IF(INDIRECT("Sheet2!AA" &amp; 9 + (ROW(K11)-ROW($C$4))*7)=0, "", INDIRECT("Sheet2!AA" &amp; 9 + (ROW(K11)-ROW($C$4))*7))</f>
        <v/>
      </c>
      <c r="L11" t="str" cm="1">
        <f t="array" aca="1" ref="L11" ca="1">IF(INDIRECT("Sheet2!AB" &amp; 9 + (ROW(L11)-ROW($C$4))*7)=0, "", INDIRECT("Sheet2!AB" &amp; 9 + (ROW(L11)-ROW($C$4))*7))</f>
        <v/>
      </c>
      <c r="M11" t="str" cm="1">
        <f t="array" aca="1" ref="M11" ca="1">IF(INDIRECT("Sheet2!AC" &amp; 9 + (ROW(M11)-ROW($C$4))*7)=0, "", INDIRECT("Sheet2!AC" &amp; 9 + (ROW(M11)-ROW($C$4))*7))</f>
        <v/>
      </c>
      <c r="N11" t="str" cm="1">
        <f t="array" aca="1" ref="N11" ca="1">IF(INDIRECT("Sheet2!AD" &amp; 9 + (ROW(N11)-ROW($C$4))*7)=0, "", INDIRECT("Sheet2!AD" &amp; 9 + (ROW(N11)-ROW($C$4))*7))</f>
        <v/>
      </c>
      <c r="O11" t="str" cm="1">
        <f t="array" aca="1" ref="O11" ca="1">IF(INDIRECT("Sheet2!AE" &amp; 9 + (ROW(O11)-ROW($C$4))*7)=0, "", INDIRECT("Sheet2!AE" &amp; 9 + (ROW(O11)-ROW($C$4))*7))</f>
        <v/>
      </c>
    </row>
    <row r="12" spans="2:15" x14ac:dyDescent="0.25">
      <c r="C12" s="28" t="str" cm="1">
        <f t="array" aca="1" ref="C12" ca="1">IF(INDIRECT("Sheet2!S" &amp; 9 + (ROW(C12)-ROW($C$4))*7)=0, "", INDIRECT("Sheet2!S" &amp; 9 + (ROW(C12)-ROW($C$4))*7))</f>
        <v/>
      </c>
      <c r="D12" t="str" cm="1">
        <f t="array" aca="1" ref="D12" ca="1">IF(INDIRECT("Sheet2!T" &amp; 9 + (ROW(D12)-ROW($C$4))*7)=0, "", INDIRECT("Sheet2!T" &amp; 9 + (ROW(D12)-ROW($C$4))*7))</f>
        <v/>
      </c>
      <c r="E12" t="str" cm="1">
        <f t="array" aca="1" ref="E12" ca="1">IF(INDIRECT("Sheet2!U" &amp; 9 + (ROW(E12)-ROW($C$4))*7)=0, "", INDIRECT("Sheet2!U" &amp; 9 + (ROW(E12)-ROW($C$4))*7))</f>
        <v/>
      </c>
      <c r="F12" t="str" cm="1">
        <f t="array" aca="1" ref="F12" ca="1">IF(INDIRECT("Sheet2!V" &amp; 9 + (ROW(F12)-ROW($C$4))*7)=0, "", INDIRECT("Sheet2!V" &amp; 9 + (ROW(F12)-ROW($C$4))*7))</f>
        <v/>
      </c>
      <c r="G12" t="str" cm="1">
        <f t="array" aca="1" ref="G12" ca="1">IF(INDIRECT("Sheet2!W" &amp; 9 + (ROW(G12)-ROW($C$4))*7)=0, "", INDIRECT("Sheet2!W" &amp; 9 + (ROW(G12)-ROW($C$4))*7))</f>
        <v/>
      </c>
      <c r="H12" t="str" cm="1">
        <f t="array" aca="1" ref="H12" ca="1">IF(INDIRECT("Sheet2!X" &amp; 9 + (ROW(H12)-ROW($C$4))*7)=0, "", INDIRECT("Sheet2!X" &amp; 9 + (ROW(H12)-ROW($C$4))*7))</f>
        <v/>
      </c>
      <c r="I12" t="str" cm="1">
        <f t="array" aca="1" ref="I12" ca="1">IF(INDIRECT("Sheet2!Y" &amp; 9 + (ROW(I12)-ROW($C$4))*7)=0, "", INDIRECT("Sheet2!Y" &amp; 9 + (ROW(I12)-ROW($C$4))*7))</f>
        <v/>
      </c>
      <c r="J12" t="str" cm="1">
        <f t="array" aca="1" ref="J12" ca="1">IF(INDIRECT("Sheet2!Z" &amp; 9 + (ROW(J12)-ROW($C$4))*7)=0, "", INDIRECT("Sheet2!Z" &amp; 9 + (ROW(J12)-ROW($C$4))*7))</f>
        <v/>
      </c>
      <c r="K12" t="str" cm="1">
        <f t="array" aca="1" ref="K12" ca="1">IF(INDIRECT("Sheet2!AA" &amp; 9 + (ROW(K12)-ROW($C$4))*7)=0, "", INDIRECT("Sheet2!AA" &amp; 9 + (ROW(K12)-ROW($C$4))*7))</f>
        <v/>
      </c>
      <c r="L12" t="str" cm="1">
        <f t="array" aca="1" ref="L12" ca="1">IF(INDIRECT("Sheet2!AB" &amp; 9 + (ROW(L12)-ROW($C$4))*7)=0, "", INDIRECT("Sheet2!AB" &amp; 9 + (ROW(L12)-ROW($C$4))*7))</f>
        <v/>
      </c>
      <c r="M12" t="str" cm="1">
        <f t="array" aca="1" ref="M12" ca="1">IF(INDIRECT("Sheet2!AC" &amp; 9 + (ROW(M12)-ROW($C$4))*7)=0, "", INDIRECT("Sheet2!AC" &amp; 9 + (ROW(M12)-ROW($C$4))*7))</f>
        <v/>
      </c>
      <c r="N12" t="str" cm="1">
        <f t="array" aca="1" ref="N12" ca="1">IF(INDIRECT("Sheet2!AD" &amp; 9 + (ROW(N12)-ROW($C$4))*7)=0, "", INDIRECT("Sheet2!AD" &amp; 9 + (ROW(N12)-ROW($C$4))*7))</f>
        <v/>
      </c>
      <c r="O12" t="str" cm="1">
        <f t="array" aca="1" ref="O12" ca="1">IF(INDIRECT("Sheet2!AE" &amp; 9 + (ROW(O12)-ROW($C$4))*7)=0, "", INDIRECT("Sheet2!AE" &amp; 9 + (ROW(O12)-ROW($C$4))*7))</f>
        <v/>
      </c>
    </row>
    <row r="13" spans="2:15" x14ac:dyDescent="0.25">
      <c r="C13" s="28" t="str" cm="1">
        <f t="array" aca="1" ref="C13" ca="1">IF(INDIRECT("Sheet2!S" &amp; 9 + (ROW(C13)-ROW($C$4))*7)=0, "", INDIRECT("Sheet2!S" &amp; 9 + (ROW(C13)-ROW($C$4))*7))</f>
        <v/>
      </c>
      <c r="D13" t="str" cm="1">
        <f t="array" aca="1" ref="D13" ca="1">IF(INDIRECT("Sheet2!T" &amp; 9 + (ROW(D13)-ROW($C$4))*7)=0, "", INDIRECT("Sheet2!T" &amp; 9 + (ROW(D13)-ROW($C$4))*7))</f>
        <v/>
      </c>
      <c r="E13" t="str" cm="1">
        <f t="array" aca="1" ref="E13" ca="1">IF(INDIRECT("Sheet2!U" &amp; 9 + (ROW(E13)-ROW($C$4))*7)=0, "", INDIRECT("Sheet2!U" &amp; 9 + (ROW(E13)-ROW($C$4))*7))</f>
        <v/>
      </c>
      <c r="F13" t="str" cm="1">
        <f t="array" aca="1" ref="F13" ca="1">IF(INDIRECT("Sheet2!V" &amp; 9 + (ROW(F13)-ROW($C$4))*7)=0, "", INDIRECT("Sheet2!V" &amp; 9 + (ROW(F13)-ROW($C$4))*7))</f>
        <v/>
      </c>
      <c r="G13" t="str" cm="1">
        <f t="array" aca="1" ref="G13" ca="1">IF(INDIRECT("Sheet2!W" &amp; 9 + (ROW(G13)-ROW($C$4))*7)=0, "", INDIRECT("Sheet2!W" &amp; 9 + (ROW(G13)-ROW($C$4))*7))</f>
        <v/>
      </c>
      <c r="H13" t="str" cm="1">
        <f t="array" aca="1" ref="H13" ca="1">IF(INDIRECT("Sheet2!X" &amp; 9 + (ROW(H13)-ROW($C$4))*7)=0, "", INDIRECT("Sheet2!X" &amp; 9 + (ROW(H13)-ROW($C$4))*7))</f>
        <v/>
      </c>
      <c r="I13" t="str" cm="1">
        <f t="array" aca="1" ref="I13" ca="1">IF(INDIRECT("Sheet2!Y" &amp; 9 + (ROW(I13)-ROW($C$4))*7)=0, "", INDIRECT("Sheet2!Y" &amp; 9 + (ROW(I13)-ROW($C$4))*7))</f>
        <v/>
      </c>
      <c r="J13" t="str" cm="1">
        <f t="array" aca="1" ref="J13" ca="1">IF(INDIRECT("Sheet2!Z" &amp; 9 + (ROW(J13)-ROW($C$4))*7)=0, "", INDIRECT("Sheet2!Z" &amp; 9 + (ROW(J13)-ROW($C$4))*7))</f>
        <v/>
      </c>
      <c r="K13" t="str" cm="1">
        <f t="array" aca="1" ref="K13" ca="1">IF(INDIRECT("Sheet2!AA" &amp; 9 + (ROW(K13)-ROW($C$4))*7)=0, "", INDIRECT("Sheet2!AA" &amp; 9 + (ROW(K13)-ROW($C$4))*7))</f>
        <v/>
      </c>
      <c r="L13" t="str" cm="1">
        <f t="array" aca="1" ref="L13" ca="1">IF(INDIRECT("Sheet2!AB" &amp; 9 + (ROW(L13)-ROW($C$4))*7)=0, "", INDIRECT("Sheet2!AB" &amp; 9 + (ROW(L13)-ROW($C$4))*7))</f>
        <v/>
      </c>
      <c r="M13" t="str" cm="1">
        <f t="array" aca="1" ref="M13" ca="1">IF(INDIRECT("Sheet2!AC" &amp; 9 + (ROW(M13)-ROW($C$4))*7)=0, "", INDIRECT("Sheet2!AC" &amp; 9 + (ROW(M13)-ROW($C$4))*7))</f>
        <v/>
      </c>
      <c r="N13" t="str" cm="1">
        <f t="array" aca="1" ref="N13" ca="1">IF(INDIRECT("Sheet2!AD" &amp; 9 + (ROW(N13)-ROW($C$4))*7)=0, "", INDIRECT("Sheet2!AD" &amp; 9 + (ROW(N13)-ROW($C$4))*7))</f>
        <v/>
      </c>
      <c r="O13" t="str" cm="1">
        <f t="array" aca="1" ref="O13" ca="1">IF(INDIRECT("Sheet2!AE" &amp; 9 + (ROW(O13)-ROW($C$4))*7)=0, "", INDIRECT("Sheet2!AE" &amp; 9 + (ROW(O13)-ROW($C$4))*7))</f>
        <v/>
      </c>
    </row>
    <row r="14" spans="2:15" x14ac:dyDescent="0.25">
      <c r="C14" s="28" t="str" cm="1">
        <f t="array" aca="1" ref="C14" ca="1">IF(INDIRECT("Sheet2!S" &amp; 9 + (ROW(C14)-ROW($C$4))*7)=0, "", INDIRECT("Sheet2!S" &amp; 9 + (ROW(C14)-ROW($C$4))*7))</f>
        <v/>
      </c>
      <c r="D14" t="str" cm="1">
        <f t="array" aca="1" ref="D14" ca="1">IF(INDIRECT("Sheet2!T" &amp; 9 + (ROW(D14)-ROW($C$4))*7)=0, "", INDIRECT("Sheet2!T" &amp; 9 + (ROW(D14)-ROW($C$4))*7))</f>
        <v/>
      </c>
      <c r="E14" t="str" cm="1">
        <f t="array" aca="1" ref="E14" ca="1">IF(INDIRECT("Sheet2!U" &amp; 9 + (ROW(E14)-ROW($C$4))*7)=0, "", INDIRECT("Sheet2!U" &amp; 9 + (ROW(E14)-ROW($C$4))*7))</f>
        <v/>
      </c>
      <c r="F14" t="str" cm="1">
        <f t="array" aca="1" ref="F14" ca="1">IF(INDIRECT("Sheet2!V" &amp; 9 + (ROW(F14)-ROW($C$4))*7)=0, "", INDIRECT("Sheet2!V" &amp; 9 + (ROW(F14)-ROW($C$4))*7))</f>
        <v/>
      </c>
      <c r="G14" t="str" cm="1">
        <f t="array" aca="1" ref="G14" ca="1">IF(INDIRECT("Sheet2!W" &amp; 9 + (ROW(G14)-ROW($C$4))*7)=0, "", INDIRECT("Sheet2!W" &amp; 9 + (ROW(G14)-ROW($C$4))*7))</f>
        <v/>
      </c>
      <c r="H14" t="str" cm="1">
        <f t="array" aca="1" ref="H14" ca="1">IF(INDIRECT("Sheet2!X" &amp; 9 + (ROW(H14)-ROW($C$4))*7)=0, "", INDIRECT("Sheet2!X" &amp; 9 + (ROW(H14)-ROW($C$4))*7))</f>
        <v/>
      </c>
      <c r="I14" t="str" cm="1">
        <f t="array" aca="1" ref="I14" ca="1">IF(INDIRECT("Sheet2!Y" &amp; 9 + (ROW(I14)-ROW($C$4))*7)=0, "", INDIRECT("Sheet2!Y" &amp; 9 + (ROW(I14)-ROW($C$4))*7))</f>
        <v/>
      </c>
      <c r="J14" t="str" cm="1">
        <f t="array" aca="1" ref="J14" ca="1">IF(INDIRECT("Sheet2!Z" &amp; 9 + (ROW(J14)-ROW($C$4))*7)=0, "", INDIRECT("Sheet2!Z" &amp; 9 + (ROW(J14)-ROW($C$4))*7))</f>
        <v/>
      </c>
      <c r="K14" t="str" cm="1">
        <f t="array" aca="1" ref="K14" ca="1">IF(INDIRECT("Sheet2!AA" &amp; 9 + (ROW(K14)-ROW($C$4))*7)=0, "", INDIRECT("Sheet2!AA" &amp; 9 + (ROW(K14)-ROW($C$4))*7))</f>
        <v/>
      </c>
      <c r="L14" t="str" cm="1">
        <f t="array" aca="1" ref="L14" ca="1">IF(INDIRECT("Sheet2!AB" &amp; 9 + (ROW(L14)-ROW($C$4))*7)=0, "", INDIRECT("Sheet2!AB" &amp; 9 + (ROW(L14)-ROW($C$4))*7))</f>
        <v/>
      </c>
      <c r="M14" t="str" cm="1">
        <f t="array" aca="1" ref="M14" ca="1">IF(INDIRECT("Sheet2!AC" &amp; 9 + (ROW(M14)-ROW($C$4))*7)=0, "", INDIRECT("Sheet2!AC" &amp; 9 + (ROW(M14)-ROW($C$4))*7))</f>
        <v/>
      </c>
      <c r="N14" t="str" cm="1">
        <f t="array" aca="1" ref="N14" ca="1">IF(INDIRECT("Sheet2!AD" &amp; 9 + (ROW(N14)-ROW($C$4))*7)=0, "", INDIRECT("Sheet2!AD" &amp; 9 + (ROW(N14)-ROW($C$4))*7))</f>
        <v/>
      </c>
      <c r="O14" t="str" cm="1">
        <f t="array" aca="1" ref="O14" ca="1">IF(INDIRECT("Sheet2!AE" &amp; 9 + (ROW(O14)-ROW($C$4))*7)=0, "", INDIRECT("Sheet2!AE" &amp; 9 + (ROW(O14)-ROW($C$4))*7))</f>
        <v/>
      </c>
    </row>
    <row r="15" spans="2:15" x14ac:dyDescent="0.25">
      <c r="C15" s="28" t="str" cm="1">
        <f t="array" aca="1" ref="C15" ca="1">IF(INDIRECT("Sheet2!S" &amp; 9 + (ROW(C15)-ROW($C$4))*7)=0, "", INDIRECT("Sheet2!S" &amp; 9 + (ROW(C15)-ROW($C$4))*7))</f>
        <v/>
      </c>
      <c r="D15" t="str" cm="1">
        <f t="array" aca="1" ref="D15" ca="1">IF(INDIRECT("Sheet2!T" &amp; 9 + (ROW(D15)-ROW($C$4))*7)=0, "", INDIRECT("Sheet2!T" &amp; 9 + (ROW(D15)-ROW($C$4))*7))</f>
        <v/>
      </c>
      <c r="E15" t="str" cm="1">
        <f t="array" aca="1" ref="E15" ca="1">IF(INDIRECT("Sheet2!U" &amp; 9 + (ROW(E15)-ROW($C$4))*7)=0, "", INDIRECT("Sheet2!U" &amp; 9 + (ROW(E15)-ROW($C$4))*7))</f>
        <v/>
      </c>
      <c r="F15" t="str" cm="1">
        <f t="array" aca="1" ref="F15" ca="1">IF(INDIRECT("Sheet2!V" &amp; 9 + (ROW(F15)-ROW($C$4))*7)=0, "", INDIRECT("Sheet2!V" &amp; 9 + (ROW(F15)-ROW($C$4))*7))</f>
        <v/>
      </c>
      <c r="G15" t="str" cm="1">
        <f t="array" aca="1" ref="G15" ca="1">IF(INDIRECT("Sheet2!W" &amp; 9 + (ROW(G15)-ROW($C$4))*7)=0, "", INDIRECT("Sheet2!W" &amp; 9 + (ROW(G15)-ROW($C$4))*7))</f>
        <v/>
      </c>
      <c r="H15" t="str" cm="1">
        <f t="array" aca="1" ref="H15" ca="1">IF(INDIRECT("Sheet2!X" &amp; 9 + (ROW(H15)-ROW($C$4))*7)=0, "", INDIRECT("Sheet2!X" &amp; 9 + (ROW(H15)-ROW($C$4))*7))</f>
        <v/>
      </c>
      <c r="I15" t="str" cm="1">
        <f t="array" aca="1" ref="I15" ca="1">IF(INDIRECT("Sheet2!Y" &amp; 9 + (ROW(I15)-ROW($C$4))*7)=0, "", INDIRECT("Sheet2!Y" &amp; 9 + (ROW(I15)-ROW($C$4))*7))</f>
        <v/>
      </c>
      <c r="J15" t="str" cm="1">
        <f t="array" aca="1" ref="J15" ca="1">IF(INDIRECT("Sheet2!Z" &amp; 9 + (ROW(J15)-ROW($C$4))*7)=0, "", INDIRECT("Sheet2!Z" &amp; 9 + (ROW(J15)-ROW($C$4))*7))</f>
        <v/>
      </c>
      <c r="K15" t="str" cm="1">
        <f t="array" aca="1" ref="K15" ca="1">IF(INDIRECT("Sheet2!AA" &amp; 9 + (ROW(K15)-ROW($C$4))*7)=0, "", INDIRECT("Sheet2!AA" &amp; 9 + (ROW(K15)-ROW($C$4))*7))</f>
        <v/>
      </c>
      <c r="L15" t="str" cm="1">
        <f t="array" aca="1" ref="L15" ca="1">IF(INDIRECT("Sheet2!AB" &amp; 9 + (ROW(L15)-ROW($C$4))*7)=0, "", INDIRECT("Sheet2!AB" &amp; 9 + (ROW(L15)-ROW($C$4))*7))</f>
        <v/>
      </c>
      <c r="M15" t="str" cm="1">
        <f t="array" aca="1" ref="M15" ca="1">IF(INDIRECT("Sheet2!AC" &amp; 9 + (ROW(M15)-ROW($C$4))*7)=0, "", INDIRECT("Sheet2!AC" &amp; 9 + (ROW(M15)-ROW($C$4))*7))</f>
        <v/>
      </c>
      <c r="N15" t="str" cm="1">
        <f t="array" aca="1" ref="N15" ca="1">IF(INDIRECT("Sheet2!AD" &amp; 9 + (ROW(N15)-ROW($C$4))*7)=0, "", INDIRECT("Sheet2!AD" &amp; 9 + (ROW(N15)-ROW($C$4))*7))</f>
        <v/>
      </c>
      <c r="O15" t="str" cm="1">
        <f t="array" aca="1" ref="O15" ca="1">IF(INDIRECT("Sheet2!AE" &amp; 9 + (ROW(O15)-ROW($C$4))*7)=0, "", INDIRECT("Sheet2!AE" &amp; 9 + (ROW(O15)-ROW($C$4))*7))</f>
        <v/>
      </c>
    </row>
    <row r="16" spans="2:15" x14ac:dyDescent="0.25">
      <c r="C16" s="28" t="str" cm="1">
        <f t="array" aca="1" ref="C16" ca="1">IF(INDIRECT("Sheet2!S" &amp; 9 + (ROW(C16)-ROW($C$4))*7)=0, "", INDIRECT("Sheet2!S" &amp; 9 + (ROW(C16)-ROW($C$4))*7))</f>
        <v/>
      </c>
      <c r="D16" t="str" cm="1">
        <f t="array" aca="1" ref="D16" ca="1">IF(INDIRECT("Sheet2!T" &amp; 9 + (ROW(D16)-ROW($C$4))*7)=0, "", INDIRECT("Sheet2!T" &amp; 9 + (ROW(D16)-ROW($C$4))*7))</f>
        <v/>
      </c>
      <c r="E16" t="str" cm="1">
        <f t="array" aca="1" ref="E16" ca="1">IF(INDIRECT("Sheet2!U" &amp; 9 + (ROW(E16)-ROW($C$4))*7)=0, "", INDIRECT("Sheet2!U" &amp; 9 + (ROW(E16)-ROW($C$4))*7))</f>
        <v/>
      </c>
      <c r="F16" t="str" cm="1">
        <f t="array" aca="1" ref="F16" ca="1">IF(INDIRECT("Sheet2!V" &amp; 9 + (ROW(F16)-ROW($C$4))*7)=0, "", INDIRECT("Sheet2!V" &amp; 9 + (ROW(F16)-ROW($C$4))*7))</f>
        <v/>
      </c>
      <c r="G16" t="str" cm="1">
        <f t="array" aca="1" ref="G16" ca="1">IF(INDIRECT("Sheet2!W" &amp; 9 + (ROW(G16)-ROW($C$4))*7)=0, "", INDIRECT("Sheet2!W" &amp; 9 + (ROW(G16)-ROW($C$4))*7))</f>
        <v/>
      </c>
      <c r="H16" t="str" cm="1">
        <f t="array" aca="1" ref="H16" ca="1">IF(INDIRECT("Sheet2!X" &amp; 9 + (ROW(H16)-ROW($C$4))*7)=0, "", INDIRECT("Sheet2!X" &amp; 9 + (ROW(H16)-ROW($C$4))*7))</f>
        <v/>
      </c>
      <c r="I16" t="str" cm="1">
        <f t="array" aca="1" ref="I16" ca="1">IF(INDIRECT("Sheet2!Y" &amp; 9 + (ROW(I16)-ROW($C$4))*7)=0, "", INDIRECT("Sheet2!Y" &amp; 9 + (ROW(I16)-ROW($C$4))*7))</f>
        <v/>
      </c>
      <c r="J16" t="str" cm="1">
        <f t="array" aca="1" ref="J16" ca="1">IF(INDIRECT("Sheet2!Z" &amp; 9 + (ROW(J16)-ROW($C$4))*7)=0, "", INDIRECT("Sheet2!Z" &amp; 9 + (ROW(J16)-ROW($C$4))*7))</f>
        <v/>
      </c>
      <c r="K16" t="str" cm="1">
        <f t="array" aca="1" ref="K16" ca="1">IF(INDIRECT("Sheet2!AA" &amp; 9 + (ROW(K16)-ROW($C$4))*7)=0, "", INDIRECT("Sheet2!AA" &amp; 9 + (ROW(K16)-ROW($C$4))*7))</f>
        <v/>
      </c>
      <c r="L16" t="str" cm="1">
        <f t="array" aca="1" ref="L16" ca="1">IF(INDIRECT("Sheet2!AB" &amp; 9 + (ROW(L16)-ROW($C$4))*7)=0, "", INDIRECT("Sheet2!AB" &amp; 9 + (ROW(L16)-ROW($C$4))*7))</f>
        <v/>
      </c>
      <c r="M16" t="str" cm="1">
        <f t="array" aca="1" ref="M16" ca="1">IF(INDIRECT("Sheet2!AC" &amp; 9 + (ROW(M16)-ROW($C$4))*7)=0, "", INDIRECT("Sheet2!AC" &amp; 9 + (ROW(M16)-ROW($C$4))*7))</f>
        <v/>
      </c>
      <c r="N16" t="str" cm="1">
        <f t="array" aca="1" ref="N16" ca="1">IF(INDIRECT("Sheet2!AD" &amp; 9 + (ROW(N16)-ROW($C$4))*7)=0, "", INDIRECT("Sheet2!AD" &amp; 9 + (ROW(N16)-ROW($C$4))*7))</f>
        <v/>
      </c>
      <c r="O16" t="str" cm="1">
        <f t="array" aca="1" ref="O16" ca="1">IF(INDIRECT("Sheet2!AE" &amp; 9 + (ROW(O16)-ROW($C$4))*7)=0, "", INDIRECT("Sheet2!AE" &amp; 9 + (ROW(O16)-ROW($C$4))*7))</f>
        <v/>
      </c>
    </row>
    <row r="17" spans="3:15" x14ac:dyDescent="0.25">
      <c r="C17" s="28" t="str" cm="1">
        <f t="array" aca="1" ref="C17" ca="1">IF(INDIRECT("Sheet2!S" &amp; 9 + (ROW(C17)-ROW($C$4))*7)=0, "", INDIRECT("Sheet2!S" &amp; 9 + (ROW(C17)-ROW($C$4))*7))</f>
        <v/>
      </c>
      <c r="D17" t="str" cm="1">
        <f t="array" aca="1" ref="D17" ca="1">IF(INDIRECT("Sheet2!T" &amp; 9 + (ROW(D17)-ROW($C$4))*7)=0, "", INDIRECT("Sheet2!T" &amp; 9 + (ROW(D17)-ROW($C$4))*7))</f>
        <v/>
      </c>
      <c r="E17" t="str" cm="1">
        <f t="array" aca="1" ref="E17" ca="1">IF(INDIRECT("Sheet2!U" &amp; 9 + (ROW(E17)-ROW($C$4))*7)=0, "", INDIRECT("Sheet2!U" &amp; 9 + (ROW(E17)-ROW($C$4))*7))</f>
        <v/>
      </c>
      <c r="F17" t="str" cm="1">
        <f t="array" aca="1" ref="F17" ca="1">IF(INDIRECT("Sheet2!V" &amp; 9 + (ROW(F17)-ROW($C$4))*7)=0, "", INDIRECT("Sheet2!V" &amp; 9 + (ROW(F17)-ROW($C$4))*7))</f>
        <v/>
      </c>
      <c r="G17" t="str" cm="1">
        <f t="array" aca="1" ref="G17" ca="1">IF(INDIRECT("Sheet2!W" &amp; 9 + (ROW(G17)-ROW($C$4))*7)=0, "", INDIRECT("Sheet2!W" &amp; 9 + (ROW(G17)-ROW($C$4))*7))</f>
        <v/>
      </c>
      <c r="H17" t="str" cm="1">
        <f t="array" aca="1" ref="H17" ca="1">IF(INDIRECT("Sheet2!X" &amp; 9 + (ROW(H17)-ROW($C$4))*7)=0, "", INDIRECT("Sheet2!X" &amp; 9 + (ROW(H17)-ROW($C$4))*7))</f>
        <v/>
      </c>
      <c r="I17" t="str" cm="1">
        <f t="array" aca="1" ref="I17" ca="1">IF(INDIRECT("Sheet2!Y" &amp; 9 + (ROW(I17)-ROW($C$4))*7)=0, "", INDIRECT("Sheet2!Y" &amp; 9 + (ROW(I17)-ROW($C$4))*7))</f>
        <v/>
      </c>
      <c r="J17" t="str" cm="1">
        <f t="array" aca="1" ref="J17" ca="1">IF(INDIRECT("Sheet2!Z" &amp; 9 + (ROW(J17)-ROW($C$4))*7)=0, "", INDIRECT("Sheet2!Z" &amp; 9 + (ROW(J17)-ROW($C$4))*7))</f>
        <v/>
      </c>
      <c r="K17" t="str" cm="1">
        <f t="array" aca="1" ref="K17" ca="1">IF(INDIRECT("Sheet2!AA" &amp; 9 + (ROW(K17)-ROW($C$4))*7)=0, "", INDIRECT("Sheet2!AA" &amp; 9 + (ROW(K17)-ROW($C$4))*7))</f>
        <v/>
      </c>
      <c r="L17" t="str" cm="1">
        <f t="array" aca="1" ref="L17" ca="1">IF(INDIRECT("Sheet2!AB" &amp; 9 + (ROW(L17)-ROW($C$4))*7)=0, "", INDIRECT("Sheet2!AB" &amp; 9 + (ROW(L17)-ROW($C$4))*7))</f>
        <v/>
      </c>
      <c r="M17" t="str" cm="1">
        <f t="array" aca="1" ref="M17" ca="1">IF(INDIRECT("Sheet2!AC" &amp; 9 + (ROW(M17)-ROW($C$4))*7)=0, "", INDIRECT("Sheet2!AC" &amp; 9 + (ROW(M17)-ROW($C$4))*7))</f>
        <v/>
      </c>
      <c r="N17" t="str" cm="1">
        <f t="array" aca="1" ref="N17" ca="1">IF(INDIRECT("Sheet2!AD" &amp; 9 + (ROW(N17)-ROW($C$4))*7)=0, "", INDIRECT("Sheet2!AD" &amp; 9 + (ROW(N17)-ROW($C$4))*7))</f>
        <v/>
      </c>
      <c r="O17" t="str" cm="1">
        <f t="array" aca="1" ref="O17" ca="1">IF(INDIRECT("Sheet2!AE" &amp; 9 + (ROW(O17)-ROW($C$4))*7)=0, "", INDIRECT("Sheet2!AE" &amp; 9 + (ROW(O17)-ROW($C$4))*7))</f>
        <v/>
      </c>
    </row>
    <row r="18" spans="3:15" x14ac:dyDescent="0.25">
      <c r="C18" s="28" t="str" cm="1">
        <f t="array" aca="1" ref="C18" ca="1">IF(INDIRECT("Sheet2!S" &amp; 9 + (ROW(C18)-ROW($C$4))*7)=0, "", INDIRECT("Sheet2!S" &amp; 9 + (ROW(C18)-ROW($C$4))*7))</f>
        <v/>
      </c>
      <c r="D18" t="str" cm="1">
        <f t="array" aca="1" ref="D18" ca="1">IF(INDIRECT("Sheet2!T" &amp; 9 + (ROW(D18)-ROW($C$4))*7)=0, "", INDIRECT("Sheet2!T" &amp; 9 + (ROW(D18)-ROW($C$4))*7))</f>
        <v/>
      </c>
      <c r="E18" t="str" cm="1">
        <f t="array" aca="1" ref="E18" ca="1">IF(INDIRECT("Sheet2!U" &amp; 9 + (ROW(E18)-ROW($C$4))*7)=0, "", INDIRECT("Sheet2!U" &amp; 9 + (ROW(E18)-ROW($C$4))*7))</f>
        <v/>
      </c>
      <c r="F18" t="str" cm="1">
        <f t="array" aca="1" ref="F18" ca="1">IF(INDIRECT("Sheet2!V" &amp; 9 + (ROW(F18)-ROW($C$4))*7)=0, "", INDIRECT("Sheet2!V" &amp; 9 + (ROW(F18)-ROW($C$4))*7))</f>
        <v/>
      </c>
      <c r="G18" t="str" cm="1">
        <f t="array" aca="1" ref="G18" ca="1">IF(INDIRECT("Sheet2!W" &amp; 9 + (ROW(G18)-ROW($C$4))*7)=0, "", INDIRECT("Sheet2!W" &amp; 9 + (ROW(G18)-ROW($C$4))*7))</f>
        <v/>
      </c>
      <c r="H18" t="str" cm="1">
        <f t="array" aca="1" ref="H18" ca="1">IF(INDIRECT("Sheet2!X" &amp; 9 + (ROW(H18)-ROW($C$4))*7)=0, "", INDIRECT("Sheet2!X" &amp; 9 + (ROW(H18)-ROW($C$4))*7))</f>
        <v/>
      </c>
      <c r="I18" t="str" cm="1">
        <f t="array" aca="1" ref="I18" ca="1">IF(INDIRECT("Sheet2!Y" &amp; 9 + (ROW(I18)-ROW($C$4))*7)=0, "", INDIRECT("Sheet2!Y" &amp; 9 + (ROW(I18)-ROW($C$4))*7))</f>
        <v/>
      </c>
      <c r="J18" t="str" cm="1">
        <f t="array" aca="1" ref="J18" ca="1">IF(INDIRECT("Sheet2!Z" &amp; 9 + (ROW(J18)-ROW($C$4))*7)=0, "", INDIRECT("Sheet2!Z" &amp; 9 + (ROW(J18)-ROW($C$4))*7))</f>
        <v/>
      </c>
      <c r="K18" t="str" cm="1">
        <f t="array" aca="1" ref="K18" ca="1">IF(INDIRECT("Sheet2!AA" &amp; 9 + (ROW(K18)-ROW($C$4))*7)=0, "", INDIRECT("Sheet2!AA" &amp; 9 + (ROW(K18)-ROW($C$4))*7))</f>
        <v/>
      </c>
      <c r="L18" t="str" cm="1">
        <f t="array" aca="1" ref="L18" ca="1">IF(INDIRECT("Sheet2!AB" &amp; 9 + (ROW(L18)-ROW($C$4))*7)=0, "", INDIRECT("Sheet2!AB" &amp; 9 + (ROW(L18)-ROW($C$4))*7))</f>
        <v/>
      </c>
      <c r="M18" t="str" cm="1">
        <f t="array" aca="1" ref="M18" ca="1">IF(INDIRECT("Sheet2!AC" &amp; 9 + (ROW(M18)-ROW($C$4))*7)=0, "", INDIRECT("Sheet2!AC" &amp; 9 + (ROW(M18)-ROW($C$4))*7))</f>
        <v/>
      </c>
      <c r="N18" t="str" cm="1">
        <f t="array" aca="1" ref="N18" ca="1">IF(INDIRECT("Sheet2!AD" &amp; 9 + (ROW(N18)-ROW($C$4))*7)=0, "", INDIRECT("Sheet2!AD" &amp; 9 + (ROW(N18)-ROW($C$4))*7))</f>
        <v/>
      </c>
      <c r="O18" t="str" cm="1">
        <f t="array" aca="1" ref="O18" ca="1">IF(INDIRECT("Sheet2!AE" &amp; 9 + (ROW(O18)-ROW($C$4))*7)=0, "", INDIRECT("Sheet2!AE" &amp; 9 + (ROW(O18)-ROW($C$4))*7))</f>
        <v/>
      </c>
    </row>
    <row r="19" spans="3:15" x14ac:dyDescent="0.25">
      <c r="C19" s="28" t="str" cm="1">
        <f t="array" aca="1" ref="C19" ca="1">IF(INDIRECT("Sheet2!S" &amp; 9 + (ROW(C19)-ROW($C$4))*7)=0, "", INDIRECT("Sheet2!S" &amp; 9 + (ROW(C19)-ROW($C$4))*7))</f>
        <v/>
      </c>
      <c r="D19" t="str" cm="1">
        <f t="array" aca="1" ref="D19" ca="1">IF(INDIRECT("Sheet2!T" &amp; 9 + (ROW(D19)-ROW($C$4))*7)=0, "", INDIRECT("Sheet2!T" &amp; 9 + (ROW(D19)-ROW($C$4))*7))</f>
        <v/>
      </c>
      <c r="E19" t="str" cm="1">
        <f t="array" aca="1" ref="E19" ca="1">IF(INDIRECT("Sheet2!U" &amp; 9 + (ROW(E19)-ROW($C$4))*7)=0, "", INDIRECT("Sheet2!U" &amp; 9 + (ROW(E19)-ROW($C$4))*7))</f>
        <v/>
      </c>
      <c r="F19" t="str" cm="1">
        <f t="array" aca="1" ref="F19" ca="1">IF(INDIRECT("Sheet2!V" &amp; 9 + (ROW(F19)-ROW($C$4))*7)=0, "", INDIRECT("Sheet2!V" &amp; 9 + (ROW(F19)-ROW($C$4))*7))</f>
        <v/>
      </c>
      <c r="G19" t="str" cm="1">
        <f t="array" aca="1" ref="G19" ca="1">IF(INDIRECT("Sheet2!W" &amp; 9 + (ROW(G19)-ROW($C$4))*7)=0, "", INDIRECT("Sheet2!W" &amp; 9 + (ROW(G19)-ROW($C$4))*7))</f>
        <v/>
      </c>
      <c r="H19" t="str" cm="1">
        <f t="array" aca="1" ref="H19" ca="1">IF(INDIRECT("Sheet2!X" &amp; 9 + (ROW(H19)-ROW($C$4))*7)=0, "", INDIRECT("Sheet2!X" &amp; 9 + (ROW(H19)-ROW($C$4))*7))</f>
        <v/>
      </c>
      <c r="I19" t="str" cm="1">
        <f t="array" aca="1" ref="I19" ca="1">IF(INDIRECT("Sheet2!Y" &amp; 9 + (ROW(I19)-ROW($C$4))*7)=0, "", INDIRECT("Sheet2!Y" &amp; 9 + (ROW(I19)-ROW($C$4))*7))</f>
        <v/>
      </c>
      <c r="J19" t="str" cm="1">
        <f t="array" aca="1" ref="J19" ca="1">IF(INDIRECT("Sheet2!Z" &amp; 9 + (ROW(J19)-ROW($C$4))*7)=0, "", INDIRECT("Sheet2!Z" &amp; 9 + (ROW(J19)-ROW($C$4))*7))</f>
        <v/>
      </c>
      <c r="K19" t="str" cm="1">
        <f t="array" aca="1" ref="K19" ca="1">IF(INDIRECT("Sheet2!AA" &amp; 9 + (ROW(K19)-ROW($C$4))*7)=0, "", INDIRECT("Sheet2!AA" &amp; 9 + (ROW(K19)-ROW($C$4))*7))</f>
        <v/>
      </c>
      <c r="L19" t="str" cm="1">
        <f t="array" aca="1" ref="L19" ca="1">IF(INDIRECT("Sheet2!AB" &amp; 9 + (ROW(L19)-ROW($C$4))*7)=0, "", INDIRECT("Sheet2!AB" &amp; 9 + (ROW(L19)-ROW($C$4))*7))</f>
        <v/>
      </c>
      <c r="M19" t="str" cm="1">
        <f t="array" aca="1" ref="M19" ca="1">IF(INDIRECT("Sheet2!AC" &amp; 9 + (ROW(M19)-ROW($C$4))*7)=0, "", INDIRECT("Sheet2!AC" &amp; 9 + (ROW(M19)-ROW($C$4))*7))</f>
        <v/>
      </c>
      <c r="N19" t="str" cm="1">
        <f t="array" aca="1" ref="N19" ca="1">IF(INDIRECT("Sheet2!AD" &amp; 9 + (ROW(N19)-ROW($C$4))*7)=0, "", INDIRECT("Sheet2!AD" &amp; 9 + (ROW(N19)-ROW($C$4))*7))</f>
        <v/>
      </c>
      <c r="O19" t="str" cm="1">
        <f t="array" aca="1" ref="O19" ca="1">IF(INDIRECT("Sheet2!AE" &amp; 9 + (ROW(O19)-ROW($C$4))*7)=0, "", INDIRECT("Sheet2!AE" &amp; 9 + (ROW(O19)-ROW($C$4))*7))</f>
        <v/>
      </c>
    </row>
    <row r="20" spans="3:15" x14ac:dyDescent="0.25">
      <c r="C20" s="28" t="str" cm="1">
        <f t="array" aca="1" ref="C20" ca="1">IF(INDIRECT("Sheet2!S" &amp; 9 + (ROW(C20)-ROW($C$4))*7)=0, "", INDIRECT("Sheet2!S" &amp; 9 + (ROW(C20)-ROW($C$4))*7))</f>
        <v/>
      </c>
      <c r="D20" t="str" cm="1">
        <f t="array" aca="1" ref="D20" ca="1">IF(INDIRECT("Sheet2!T" &amp; 9 + (ROW(D20)-ROW($C$4))*7)=0, "", INDIRECT("Sheet2!T" &amp; 9 + (ROW(D20)-ROW($C$4))*7))</f>
        <v/>
      </c>
      <c r="E20" t="str" cm="1">
        <f t="array" aca="1" ref="E20" ca="1">IF(INDIRECT("Sheet2!U" &amp; 9 + (ROW(E20)-ROW($C$4))*7)=0, "", INDIRECT("Sheet2!U" &amp; 9 + (ROW(E20)-ROW($C$4))*7))</f>
        <v/>
      </c>
      <c r="F20" t="str" cm="1">
        <f t="array" aca="1" ref="F20" ca="1">IF(INDIRECT("Sheet2!V" &amp; 9 + (ROW(F20)-ROW($C$4))*7)=0, "", INDIRECT("Sheet2!V" &amp; 9 + (ROW(F20)-ROW($C$4))*7))</f>
        <v/>
      </c>
      <c r="G20" t="str" cm="1">
        <f t="array" aca="1" ref="G20" ca="1">IF(INDIRECT("Sheet2!W" &amp; 9 + (ROW(G20)-ROW($C$4))*7)=0, "", INDIRECT("Sheet2!W" &amp; 9 + (ROW(G20)-ROW($C$4))*7))</f>
        <v/>
      </c>
      <c r="H20" t="str" cm="1">
        <f t="array" aca="1" ref="H20" ca="1">IF(INDIRECT("Sheet2!X" &amp; 9 + (ROW(H20)-ROW($C$4))*7)=0, "", INDIRECT("Sheet2!X" &amp; 9 + (ROW(H20)-ROW($C$4))*7))</f>
        <v/>
      </c>
      <c r="I20" t="str" cm="1">
        <f t="array" aca="1" ref="I20" ca="1">IF(INDIRECT("Sheet2!Y" &amp; 9 + (ROW(I20)-ROW($C$4))*7)=0, "", INDIRECT("Sheet2!Y" &amp; 9 + (ROW(I20)-ROW($C$4))*7))</f>
        <v/>
      </c>
      <c r="J20" t="str" cm="1">
        <f t="array" aca="1" ref="J20" ca="1">IF(INDIRECT("Sheet2!Z" &amp; 9 + (ROW(J20)-ROW($C$4))*7)=0, "", INDIRECT("Sheet2!Z" &amp; 9 + (ROW(J20)-ROW($C$4))*7))</f>
        <v/>
      </c>
      <c r="K20" t="str" cm="1">
        <f t="array" aca="1" ref="K20" ca="1">IF(INDIRECT("Sheet2!AA" &amp; 9 + (ROW(K20)-ROW($C$4))*7)=0, "", INDIRECT("Sheet2!AA" &amp; 9 + (ROW(K20)-ROW($C$4))*7))</f>
        <v/>
      </c>
      <c r="L20" t="str" cm="1">
        <f t="array" aca="1" ref="L20" ca="1">IF(INDIRECT("Sheet2!AB" &amp; 9 + (ROW(L20)-ROW($C$4))*7)=0, "", INDIRECT("Sheet2!AB" &amp; 9 + (ROW(L20)-ROW($C$4))*7))</f>
        <v/>
      </c>
      <c r="M20" t="str" cm="1">
        <f t="array" aca="1" ref="M20" ca="1">IF(INDIRECT("Sheet2!AC" &amp; 9 + (ROW(M20)-ROW($C$4))*7)=0, "", INDIRECT("Sheet2!AC" &amp; 9 + (ROW(M20)-ROW($C$4))*7))</f>
        <v/>
      </c>
      <c r="N20" t="str" cm="1">
        <f t="array" aca="1" ref="N20" ca="1">IF(INDIRECT("Sheet2!AD" &amp; 9 + (ROW(N20)-ROW($C$4))*7)=0, "", INDIRECT("Sheet2!AD" &amp; 9 + (ROW(N20)-ROW($C$4))*7))</f>
        <v/>
      </c>
      <c r="O20" t="str" cm="1">
        <f t="array" aca="1" ref="O20" ca="1">IF(INDIRECT("Sheet2!AE" &amp; 9 + (ROW(O20)-ROW($C$4))*7)=0, "", INDIRECT("Sheet2!AE" &amp; 9 + (ROW(O20)-ROW($C$4))*7))</f>
        <v/>
      </c>
    </row>
    <row r="21" spans="3:15" x14ac:dyDescent="0.25">
      <c r="C21" s="28" t="str" cm="1">
        <f t="array" aca="1" ref="C21" ca="1">IF(INDIRECT("Sheet2!S" &amp; 9 + (ROW(C21)-ROW($C$4))*7)=0, "", INDIRECT("Sheet2!S" &amp; 9 + (ROW(C21)-ROW($C$4))*7))</f>
        <v/>
      </c>
      <c r="D21" t="str" cm="1">
        <f t="array" aca="1" ref="D21" ca="1">IF(INDIRECT("Sheet2!T" &amp; 9 + (ROW(D21)-ROW($C$4))*7)=0, "", INDIRECT("Sheet2!T" &amp; 9 + (ROW(D21)-ROW($C$4))*7))</f>
        <v/>
      </c>
      <c r="E21" t="str" cm="1">
        <f t="array" aca="1" ref="E21" ca="1">IF(INDIRECT("Sheet2!U" &amp; 9 + (ROW(E21)-ROW($C$4))*7)=0, "", INDIRECT("Sheet2!U" &amp; 9 + (ROW(E21)-ROW($C$4))*7))</f>
        <v/>
      </c>
      <c r="F21" t="str" cm="1">
        <f t="array" aca="1" ref="F21" ca="1">IF(INDIRECT("Sheet2!V" &amp; 9 + (ROW(F21)-ROW($C$4))*7)=0, "", INDIRECT("Sheet2!V" &amp; 9 + (ROW(F21)-ROW($C$4))*7))</f>
        <v/>
      </c>
      <c r="G21" t="str" cm="1">
        <f t="array" aca="1" ref="G21" ca="1">IF(INDIRECT("Sheet2!W" &amp; 9 + (ROW(G21)-ROW($C$4))*7)=0, "", INDIRECT("Sheet2!W" &amp; 9 + (ROW(G21)-ROW($C$4))*7))</f>
        <v/>
      </c>
      <c r="H21" t="str" cm="1">
        <f t="array" aca="1" ref="H21" ca="1">IF(INDIRECT("Sheet2!X" &amp; 9 + (ROW(H21)-ROW($C$4))*7)=0, "", INDIRECT("Sheet2!X" &amp; 9 + (ROW(H21)-ROW($C$4))*7))</f>
        <v/>
      </c>
      <c r="I21" t="str" cm="1">
        <f t="array" aca="1" ref="I21" ca="1">IF(INDIRECT("Sheet2!Y" &amp; 9 + (ROW(I21)-ROW($C$4))*7)=0, "", INDIRECT("Sheet2!Y" &amp; 9 + (ROW(I21)-ROW($C$4))*7))</f>
        <v/>
      </c>
      <c r="J21" t="str" cm="1">
        <f t="array" aca="1" ref="J21" ca="1">IF(INDIRECT("Sheet2!Z" &amp; 9 + (ROW(J21)-ROW($C$4))*7)=0, "", INDIRECT("Sheet2!Z" &amp; 9 + (ROW(J21)-ROW($C$4))*7))</f>
        <v/>
      </c>
      <c r="K21" t="str" cm="1">
        <f t="array" aca="1" ref="K21" ca="1">IF(INDIRECT("Sheet2!AA" &amp; 9 + (ROW(K21)-ROW($C$4))*7)=0, "", INDIRECT("Sheet2!AA" &amp; 9 + (ROW(K21)-ROW($C$4))*7))</f>
        <v/>
      </c>
      <c r="L21" t="str" cm="1">
        <f t="array" aca="1" ref="L21" ca="1">IF(INDIRECT("Sheet2!AB" &amp; 9 + (ROW(L21)-ROW($C$4))*7)=0, "", INDIRECT("Sheet2!AB" &amp; 9 + (ROW(L21)-ROW($C$4))*7))</f>
        <v/>
      </c>
      <c r="M21" t="str" cm="1">
        <f t="array" aca="1" ref="M21" ca="1">IF(INDIRECT("Sheet2!AC" &amp; 9 + (ROW(M21)-ROW($C$4))*7)=0, "", INDIRECT("Sheet2!AC" &amp; 9 + (ROW(M21)-ROW($C$4))*7))</f>
        <v/>
      </c>
      <c r="N21" t="str" cm="1">
        <f t="array" aca="1" ref="N21" ca="1">IF(INDIRECT("Sheet2!AD" &amp; 9 + (ROW(N21)-ROW($C$4))*7)=0, "", INDIRECT("Sheet2!AD" &amp; 9 + (ROW(N21)-ROW($C$4))*7))</f>
        <v/>
      </c>
      <c r="O21" t="str" cm="1">
        <f t="array" aca="1" ref="O21" ca="1">IF(INDIRECT("Sheet2!AE" &amp; 9 + (ROW(O21)-ROW($C$4))*7)=0, "", INDIRECT("Sheet2!AE" &amp; 9 + (ROW(O21)-ROW($C$4))*7))</f>
        <v/>
      </c>
    </row>
    <row r="22" spans="3:15" x14ac:dyDescent="0.25">
      <c r="C22" s="28" t="str" cm="1">
        <f t="array" aca="1" ref="C22" ca="1">IF(INDIRECT("Sheet2!S" &amp; 9 + (ROW(C22)-ROW($C$4))*7)=0, "", INDIRECT("Sheet2!S" &amp; 9 + (ROW(C22)-ROW($C$4))*7))</f>
        <v/>
      </c>
      <c r="D22" t="str" cm="1">
        <f t="array" aca="1" ref="D22" ca="1">IF(INDIRECT("Sheet2!T" &amp; 9 + (ROW(D22)-ROW($C$4))*7)=0, "", INDIRECT("Sheet2!T" &amp; 9 + (ROW(D22)-ROW($C$4))*7))</f>
        <v/>
      </c>
      <c r="E22" t="str" cm="1">
        <f t="array" aca="1" ref="E22" ca="1">IF(INDIRECT("Sheet2!U" &amp; 9 + (ROW(E22)-ROW($C$4))*7)=0, "", INDIRECT("Sheet2!U" &amp; 9 + (ROW(E22)-ROW($C$4))*7))</f>
        <v/>
      </c>
      <c r="F22" t="str" cm="1">
        <f t="array" aca="1" ref="F22" ca="1">IF(INDIRECT("Sheet2!V" &amp; 9 + (ROW(F22)-ROW($C$4))*7)=0, "", INDIRECT("Sheet2!V" &amp; 9 + (ROW(F22)-ROW($C$4))*7))</f>
        <v/>
      </c>
      <c r="G22" t="str" cm="1">
        <f t="array" aca="1" ref="G22" ca="1">IF(INDIRECT("Sheet2!W" &amp; 9 + (ROW(G22)-ROW($C$4))*7)=0, "", INDIRECT("Sheet2!W" &amp; 9 + (ROW(G22)-ROW($C$4))*7))</f>
        <v/>
      </c>
      <c r="H22" t="str" cm="1">
        <f t="array" aca="1" ref="H22" ca="1">IF(INDIRECT("Sheet2!X" &amp; 9 + (ROW(H22)-ROW($C$4))*7)=0, "", INDIRECT("Sheet2!X" &amp; 9 + (ROW(H22)-ROW($C$4))*7))</f>
        <v/>
      </c>
      <c r="I22" t="str" cm="1">
        <f t="array" aca="1" ref="I22" ca="1">IF(INDIRECT("Sheet2!Y" &amp; 9 + (ROW(I22)-ROW($C$4))*7)=0, "", INDIRECT("Sheet2!Y" &amp; 9 + (ROW(I22)-ROW($C$4))*7))</f>
        <v/>
      </c>
      <c r="J22" t="str" cm="1">
        <f t="array" aca="1" ref="J22" ca="1">IF(INDIRECT("Sheet2!Z" &amp; 9 + (ROW(J22)-ROW($C$4))*7)=0, "", INDIRECT("Sheet2!Z" &amp; 9 + (ROW(J22)-ROW($C$4))*7))</f>
        <v/>
      </c>
      <c r="K22" t="str" cm="1">
        <f t="array" aca="1" ref="K22" ca="1">IF(INDIRECT("Sheet2!AA" &amp; 9 + (ROW(K22)-ROW($C$4))*7)=0, "", INDIRECT("Sheet2!AA" &amp; 9 + (ROW(K22)-ROW($C$4))*7))</f>
        <v/>
      </c>
      <c r="L22" t="str" cm="1">
        <f t="array" aca="1" ref="L22" ca="1">IF(INDIRECT("Sheet2!AB" &amp; 9 + (ROW(L22)-ROW($C$4))*7)=0, "", INDIRECT("Sheet2!AB" &amp; 9 + (ROW(L22)-ROW($C$4))*7))</f>
        <v/>
      </c>
      <c r="M22" t="str" cm="1">
        <f t="array" aca="1" ref="M22" ca="1">IF(INDIRECT("Sheet2!AC" &amp; 9 + (ROW(M22)-ROW($C$4))*7)=0, "", INDIRECT("Sheet2!AC" &amp; 9 + (ROW(M22)-ROW($C$4))*7))</f>
        <v/>
      </c>
      <c r="N22" t="str" cm="1">
        <f t="array" aca="1" ref="N22" ca="1">IF(INDIRECT("Sheet2!AD" &amp; 9 + (ROW(N22)-ROW($C$4))*7)=0, "", INDIRECT("Sheet2!AD" &amp; 9 + (ROW(N22)-ROW($C$4))*7))</f>
        <v/>
      </c>
      <c r="O22" t="str" cm="1">
        <f t="array" aca="1" ref="O22" ca="1">IF(INDIRECT("Sheet2!AE" &amp; 9 + (ROW(O22)-ROW($C$4))*7)=0, "", INDIRECT("Sheet2!AE" &amp; 9 + (ROW(O22)-ROW($C$4))*7))</f>
        <v/>
      </c>
    </row>
    <row r="23" spans="3:15" x14ac:dyDescent="0.25">
      <c r="C23" s="28" t="str" cm="1">
        <f t="array" aca="1" ref="C23" ca="1">IF(INDIRECT("Sheet2!S" &amp; 9 + (ROW(C23)-ROW($C$4))*7)=0, "", INDIRECT("Sheet2!S" &amp; 9 + (ROW(C23)-ROW($C$4))*7))</f>
        <v/>
      </c>
      <c r="D23" t="str" cm="1">
        <f t="array" aca="1" ref="D23" ca="1">IF(INDIRECT("Sheet2!T" &amp; 9 + (ROW(D23)-ROW($C$4))*7)=0, "", INDIRECT("Sheet2!T" &amp; 9 + (ROW(D23)-ROW($C$4))*7))</f>
        <v/>
      </c>
      <c r="E23" t="str" cm="1">
        <f t="array" aca="1" ref="E23" ca="1">IF(INDIRECT("Sheet2!U" &amp; 9 + (ROW(E23)-ROW($C$4))*7)=0, "", INDIRECT("Sheet2!U" &amp; 9 + (ROW(E23)-ROW($C$4))*7))</f>
        <v/>
      </c>
      <c r="F23" t="str" cm="1">
        <f t="array" aca="1" ref="F23" ca="1">IF(INDIRECT("Sheet2!V" &amp; 9 + (ROW(F23)-ROW($C$4))*7)=0, "", INDIRECT("Sheet2!V" &amp; 9 + (ROW(F23)-ROW($C$4))*7))</f>
        <v/>
      </c>
      <c r="G23" t="str" cm="1">
        <f t="array" aca="1" ref="G23" ca="1">IF(INDIRECT("Sheet2!W" &amp; 9 + (ROW(G23)-ROW($C$4))*7)=0, "", INDIRECT("Sheet2!W" &amp; 9 + (ROW(G23)-ROW($C$4))*7))</f>
        <v/>
      </c>
      <c r="H23" t="str" cm="1">
        <f t="array" aca="1" ref="H23" ca="1">IF(INDIRECT("Sheet2!X" &amp; 9 + (ROW(H23)-ROW($C$4))*7)=0, "", INDIRECT("Sheet2!X" &amp; 9 + (ROW(H23)-ROW($C$4))*7))</f>
        <v/>
      </c>
      <c r="I23" t="str" cm="1">
        <f t="array" aca="1" ref="I23" ca="1">IF(INDIRECT("Sheet2!Y" &amp; 9 + (ROW(I23)-ROW($C$4))*7)=0, "", INDIRECT("Sheet2!Y" &amp; 9 + (ROW(I23)-ROW($C$4))*7))</f>
        <v/>
      </c>
      <c r="J23" t="str" cm="1">
        <f t="array" aca="1" ref="J23" ca="1">IF(INDIRECT("Sheet2!Z" &amp; 9 + (ROW(J23)-ROW($C$4))*7)=0, "", INDIRECT("Sheet2!Z" &amp; 9 + (ROW(J23)-ROW($C$4))*7))</f>
        <v/>
      </c>
      <c r="K23" t="str" cm="1">
        <f t="array" aca="1" ref="K23" ca="1">IF(INDIRECT("Sheet2!AA" &amp; 9 + (ROW(K23)-ROW($C$4))*7)=0, "", INDIRECT("Sheet2!AA" &amp; 9 + (ROW(K23)-ROW($C$4))*7))</f>
        <v/>
      </c>
      <c r="L23" t="str" cm="1">
        <f t="array" aca="1" ref="L23" ca="1">IF(INDIRECT("Sheet2!AB" &amp; 9 + (ROW(L23)-ROW($C$4))*7)=0, "", INDIRECT("Sheet2!AB" &amp; 9 + (ROW(L23)-ROW($C$4))*7))</f>
        <v/>
      </c>
      <c r="M23" t="str" cm="1">
        <f t="array" aca="1" ref="M23" ca="1">IF(INDIRECT("Sheet2!AC" &amp; 9 + (ROW(M23)-ROW($C$4))*7)=0, "", INDIRECT("Sheet2!AC" &amp; 9 + (ROW(M23)-ROW($C$4))*7))</f>
        <v/>
      </c>
      <c r="N23" t="str" cm="1">
        <f t="array" aca="1" ref="N23" ca="1">IF(INDIRECT("Sheet2!AD" &amp; 9 + (ROW(N23)-ROW($C$4))*7)=0, "", INDIRECT("Sheet2!AD" &amp; 9 + (ROW(N23)-ROW($C$4))*7))</f>
        <v/>
      </c>
      <c r="O23" t="str" cm="1">
        <f t="array" aca="1" ref="O23" ca="1">IF(INDIRECT("Sheet2!AE" &amp; 9 + (ROW(O23)-ROW($C$4))*7)=0, "", INDIRECT("Sheet2!AE" &amp; 9 + (ROW(O23)-ROW($C$4))*7))</f>
        <v/>
      </c>
    </row>
    <row r="24" spans="3:15" x14ac:dyDescent="0.25">
      <c r="C24" s="28" t="str" cm="1">
        <f t="array" aca="1" ref="C24" ca="1">IF(INDIRECT("Sheet2!S" &amp; 9 + (ROW(C24)-ROW($C$4))*7)=0, "", INDIRECT("Sheet2!S" &amp; 9 + (ROW(C24)-ROW($C$4))*7))</f>
        <v/>
      </c>
      <c r="D24" t="str" cm="1">
        <f t="array" aca="1" ref="D24" ca="1">IF(INDIRECT("Sheet2!T" &amp; 9 + (ROW(D24)-ROW($C$4))*7)=0, "", INDIRECT("Sheet2!T" &amp; 9 + (ROW(D24)-ROW($C$4))*7))</f>
        <v/>
      </c>
      <c r="E24" t="str" cm="1">
        <f t="array" aca="1" ref="E24" ca="1">IF(INDIRECT("Sheet2!U" &amp; 9 + (ROW(E24)-ROW($C$4))*7)=0, "", INDIRECT("Sheet2!U" &amp; 9 + (ROW(E24)-ROW($C$4))*7))</f>
        <v/>
      </c>
      <c r="F24" t="str" cm="1">
        <f t="array" aca="1" ref="F24" ca="1">IF(INDIRECT("Sheet2!V" &amp; 9 + (ROW(F24)-ROW($C$4))*7)=0, "", INDIRECT("Sheet2!V" &amp; 9 + (ROW(F24)-ROW($C$4))*7))</f>
        <v/>
      </c>
      <c r="G24" t="str" cm="1">
        <f t="array" aca="1" ref="G24" ca="1">IF(INDIRECT("Sheet2!W" &amp; 9 + (ROW(G24)-ROW($C$4))*7)=0, "", INDIRECT("Sheet2!W" &amp; 9 + (ROW(G24)-ROW($C$4))*7))</f>
        <v/>
      </c>
      <c r="H24" t="str" cm="1">
        <f t="array" aca="1" ref="H24" ca="1">IF(INDIRECT("Sheet2!X" &amp; 9 + (ROW(H24)-ROW($C$4))*7)=0, "", INDIRECT("Sheet2!X" &amp; 9 + (ROW(H24)-ROW($C$4))*7))</f>
        <v/>
      </c>
      <c r="I24" t="str" cm="1">
        <f t="array" aca="1" ref="I24" ca="1">IF(INDIRECT("Sheet2!Y" &amp; 9 + (ROW(I24)-ROW($C$4))*7)=0, "", INDIRECT("Sheet2!Y" &amp; 9 + (ROW(I24)-ROW($C$4))*7))</f>
        <v/>
      </c>
      <c r="J24" t="str" cm="1">
        <f t="array" aca="1" ref="J24" ca="1">IF(INDIRECT("Sheet2!Z" &amp; 9 + (ROW(J24)-ROW($C$4))*7)=0, "", INDIRECT("Sheet2!Z" &amp; 9 + (ROW(J24)-ROW($C$4))*7))</f>
        <v/>
      </c>
      <c r="K24" t="str" cm="1">
        <f t="array" aca="1" ref="K24" ca="1">IF(INDIRECT("Sheet2!AA" &amp; 9 + (ROW(K24)-ROW($C$4))*7)=0, "", INDIRECT("Sheet2!AA" &amp; 9 + (ROW(K24)-ROW($C$4))*7))</f>
        <v/>
      </c>
      <c r="L24" t="str" cm="1">
        <f t="array" aca="1" ref="L24" ca="1">IF(INDIRECT("Sheet2!AB" &amp; 9 + (ROW(L24)-ROW($C$4))*7)=0, "", INDIRECT("Sheet2!AB" &amp; 9 + (ROW(L24)-ROW($C$4))*7))</f>
        <v/>
      </c>
      <c r="M24" t="str" cm="1">
        <f t="array" aca="1" ref="M24" ca="1">IF(INDIRECT("Sheet2!AC" &amp; 9 + (ROW(M24)-ROW($C$4))*7)=0, "", INDIRECT("Sheet2!AC" &amp; 9 + (ROW(M24)-ROW($C$4))*7))</f>
        <v/>
      </c>
      <c r="N24" t="str" cm="1">
        <f t="array" aca="1" ref="N24" ca="1">IF(INDIRECT("Sheet2!AD" &amp; 9 + (ROW(N24)-ROW($C$4))*7)=0, "", INDIRECT("Sheet2!AD" &amp; 9 + (ROW(N24)-ROW($C$4))*7))</f>
        <v/>
      </c>
      <c r="O24" t="str" cm="1">
        <f t="array" aca="1" ref="O24" ca="1">IF(INDIRECT("Sheet2!AE" &amp; 9 + (ROW(O24)-ROW($C$4))*7)=0, "", INDIRECT("Sheet2!AE" &amp; 9 + (ROW(O24)-ROW($C$4))*7))</f>
        <v/>
      </c>
    </row>
    <row r="25" spans="3:15" x14ac:dyDescent="0.25">
      <c r="C25" s="28" t="str" cm="1">
        <f t="array" aca="1" ref="C25" ca="1">IF(INDIRECT("Sheet2!S" &amp; 9 + (ROW(C25)-ROW($C$4))*7)=0, "", INDIRECT("Sheet2!S" &amp; 9 + (ROW(C25)-ROW($C$4))*7))</f>
        <v/>
      </c>
      <c r="D25" t="str" cm="1">
        <f t="array" aca="1" ref="D25" ca="1">IF(INDIRECT("Sheet2!T" &amp; 9 + (ROW(D25)-ROW($C$4))*7)=0, "", INDIRECT("Sheet2!T" &amp; 9 + (ROW(D25)-ROW($C$4))*7))</f>
        <v/>
      </c>
      <c r="E25" t="str" cm="1">
        <f t="array" aca="1" ref="E25" ca="1">IF(INDIRECT("Sheet2!U" &amp; 9 + (ROW(E25)-ROW($C$4))*7)=0, "", INDIRECT("Sheet2!U" &amp; 9 + (ROW(E25)-ROW($C$4))*7))</f>
        <v/>
      </c>
      <c r="F25" t="str" cm="1">
        <f t="array" aca="1" ref="F25" ca="1">IF(INDIRECT("Sheet2!V" &amp; 9 + (ROW(F25)-ROW($C$4))*7)=0, "", INDIRECT("Sheet2!V" &amp; 9 + (ROW(F25)-ROW($C$4))*7))</f>
        <v/>
      </c>
      <c r="G25" t="str" cm="1">
        <f t="array" aca="1" ref="G25" ca="1">IF(INDIRECT("Sheet2!W" &amp; 9 + (ROW(G25)-ROW($C$4))*7)=0, "", INDIRECT("Sheet2!W" &amp; 9 + (ROW(G25)-ROW($C$4))*7))</f>
        <v/>
      </c>
      <c r="H25" t="str" cm="1">
        <f t="array" aca="1" ref="H25" ca="1">IF(INDIRECT("Sheet2!X" &amp; 9 + (ROW(H25)-ROW($C$4))*7)=0, "", INDIRECT("Sheet2!X" &amp; 9 + (ROW(H25)-ROW($C$4))*7))</f>
        <v/>
      </c>
      <c r="I25" t="str" cm="1">
        <f t="array" aca="1" ref="I25" ca="1">IF(INDIRECT("Sheet2!Y" &amp; 9 + (ROW(I25)-ROW($C$4))*7)=0, "", INDIRECT("Sheet2!Y" &amp; 9 + (ROW(I25)-ROW($C$4))*7))</f>
        <v/>
      </c>
      <c r="J25" t="str" cm="1">
        <f t="array" aca="1" ref="J25" ca="1">IF(INDIRECT("Sheet2!Z" &amp; 9 + (ROW(J25)-ROW($C$4))*7)=0, "", INDIRECT("Sheet2!Z" &amp; 9 + (ROW(J25)-ROW($C$4))*7))</f>
        <v/>
      </c>
      <c r="K25" t="str" cm="1">
        <f t="array" aca="1" ref="K25" ca="1">IF(INDIRECT("Sheet2!AA" &amp; 9 + (ROW(K25)-ROW($C$4))*7)=0, "", INDIRECT("Sheet2!AA" &amp; 9 + (ROW(K25)-ROW($C$4))*7))</f>
        <v/>
      </c>
      <c r="L25" t="str" cm="1">
        <f t="array" aca="1" ref="L25" ca="1">IF(INDIRECT("Sheet2!AB" &amp; 9 + (ROW(L25)-ROW($C$4))*7)=0, "", INDIRECT("Sheet2!AB" &amp; 9 + (ROW(L25)-ROW($C$4))*7))</f>
        <v/>
      </c>
      <c r="M25" t="str" cm="1">
        <f t="array" aca="1" ref="M25" ca="1">IF(INDIRECT("Sheet2!AC" &amp; 9 + (ROW(M25)-ROW($C$4))*7)=0, "", INDIRECT("Sheet2!AC" &amp; 9 + (ROW(M25)-ROW($C$4))*7))</f>
        <v/>
      </c>
      <c r="N25" t="str" cm="1">
        <f t="array" aca="1" ref="N25" ca="1">IF(INDIRECT("Sheet2!AD" &amp; 9 + (ROW(N25)-ROW($C$4))*7)=0, "", INDIRECT("Sheet2!AD" &amp; 9 + (ROW(N25)-ROW($C$4))*7))</f>
        <v/>
      </c>
      <c r="O25" t="str" cm="1">
        <f t="array" aca="1" ref="O25" ca="1">IF(INDIRECT("Sheet2!AE" &amp; 9 + (ROW(O25)-ROW($C$4))*7)=0, "", INDIRECT("Sheet2!AE" &amp; 9 + (ROW(O25)-ROW($C$4))*7))</f>
        <v/>
      </c>
    </row>
    <row r="26" spans="3:15" x14ac:dyDescent="0.25">
      <c r="C26" s="28" t="str" cm="1">
        <f t="array" aca="1" ref="C26" ca="1">IF(INDIRECT("Sheet2!S" &amp; 9 + (ROW(C26)-ROW($C$4))*7)=0, "", INDIRECT("Sheet2!S" &amp; 9 + (ROW(C26)-ROW($C$4))*7))</f>
        <v/>
      </c>
      <c r="D26" t="str" cm="1">
        <f t="array" aca="1" ref="D26" ca="1">IF(INDIRECT("Sheet2!T" &amp; 9 + (ROW(D26)-ROW($C$4))*7)=0, "", INDIRECT("Sheet2!T" &amp; 9 + (ROW(D26)-ROW($C$4))*7))</f>
        <v/>
      </c>
      <c r="E26" t="str" cm="1">
        <f t="array" aca="1" ref="E26" ca="1">IF(INDIRECT("Sheet2!U" &amp; 9 + (ROW(E26)-ROW($C$4))*7)=0, "", INDIRECT("Sheet2!U" &amp; 9 + (ROW(E26)-ROW($C$4))*7))</f>
        <v/>
      </c>
      <c r="F26" t="str" cm="1">
        <f t="array" aca="1" ref="F26" ca="1">IF(INDIRECT("Sheet2!V" &amp; 9 + (ROW(F26)-ROW($C$4))*7)=0, "", INDIRECT("Sheet2!V" &amp; 9 + (ROW(F26)-ROW($C$4))*7))</f>
        <v/>
      </c>
      <c r="G26" t="str" cm="1">
        <f t="array" aca="1" ref="G26" ca="1">IF(INDIRECT("Sheet2!W" &amp; 9 + (ROW(G26)-ROW($C$4))*7)=0, "", INDIRECT("Sheet2!W" &amp; 9 + (ROW(G26)-ROW($C$4))*7))</f>
        <v/>
      </c>
      <c r="H26" t="str" cm="1">
        <f t="array" aca="1" ref="H26" ca="1">IF(INDIRECT("Sheet2!X" &amp; 9 + (ROW(H26)-ROW($C$4))*7)=0, "", INDIRECT("Sheet2!X" &amp; 9 + (ROW(H26)-ROW($C$4))*7))</f>
        <v/>
      </c>
      <c r="I26" t="str" cm="1">
        <f t="array" aca="1" ref="I26" ca="1">IF(INDIRECT("Sheet2!Y" &amp; 9 + (ROW(I26)-ROW($C$4))*7)=0, "", INDIRECT("Sheet2!Y" &amp; 9 + (ROW(I26)-ROW($C$4))*7))</f>
        <v/>
      </c>
      <c r="J26" t="str" cm="1">
        <f t="array" aca="1" ref="J26" ca="1">IF(INDIRECT("Sheet2!Z" &amp; 9 + (ROW(J26)-ROW($C$4))*7)=0, "", INDIRECT("Sheet2!Z" &amp; 9 + (ROW(J26)-ROW($C$4))*7))</f>
        <v/>
      </c>
      <c r="K26" t="str" cm="1">
        <f t="array" aca="1" ref="K26" ca="1">IF(INDIRECT("Sheet2!AA" &amp; 9 + (ROW(K26)-ROW($C$4))*7)=0, "", INDIRECT("Sheet2!AA" &amp; 9 + (ROW(K26)-ROW($C$4))*7))</f>
        <v/>
      </c>
      <c r="L26" t="str" cm="1">
        <f t="array" aca="1" ref="L26" ca="1">IF(INDIRECT("Sheet2!AB" &amp; 9 + (ROW(L26)-ROW($C$4))*7)=0, "", INDIRECT("Sheet2!AB" &amp; 9 + (ROW(L26)-ROW($C$4))*7))</f>
        <v/>
      </c>
      <c r="M26" t="str" cm="1">
        <f t="array" aca="1" ref="M26" ca="1">IF(INDIRECT("Sheet2!AC" &amp; 9 + (ROW(M26)-ROW($C$4))*7)=0, "", INDIRECT("Sheet2!AC" &amp; 9 + (ROW(M26)-ROW($C$4))*7))</f>
        <v/>
      </c>
      <c r="N26" t="str" cm="1">
        <f t="array" aca="1" ref="N26" ca="1">IF(INDIRECT("Sheet2!AD" &amp; 9 + (ROW(N26)-ROW($C$4))*7)=0, "", INDIRECT("Sheet2!AD" &amp; 9 + (ROW(N26)-ROW($C$4))*7))</f>
        <v/>
      </c>
      <c r="O26" t="str" cm="1">
        <f t="array" aca="1" ref="O26" ca="1">IF(INDIRECT("Sheet2!AE" &amp; 9 + (ROW(O26)-ROW($C$4))*7)=0, "", INDIRECT("Sheet2!AE" &amp; 9 + (ROW(O26)-ROW($C$4))*7))</f>
        <v/>
      </c>
    </row>
    <row r="27" spans="3:15" x14ac:dyDescent="0.25">
      <c r="C27" s="28" t="str" cm="1">
        <f t="array" aca="1" ref="C27" ca="1">IF(INDIRECT("Sheet2!S" &amp; 9 + (ROW(C27)-ROW($C$4))*7)=0, "", INDIRECT("Sheet2!S" &amp; 9 + (ROW(C27)-ROW($C$4))*7))</f>
        <v/>
      </c>
      <c r="D27" t="str" cm="1">
        <f t="array" aca="1" ref="D27" ca="1">IF(INDIRECT("Sheet2!T" &amp; 9 + (ROW(D27)-ROW($C$4))*7)=0, "", INDIRECT("Sheet2!T" &amp; 9 + (ROW(D27)-ROW($C$4))*7))</f>
        <v/>
      </c>
      <c r="E27" t="str" cm="1">
        <f t="array" aca="1" ref="E27" ca="1">IF(INDIRECT("Sheet2!U" &amp; 9 + (ROW(E27)-ROW($C$4))*7)=0, "", INDIRECT("Sheet2!U" &amp; 9 + (ROW(E27)-ROW($C$4))*7))</f>
        <v/>
      </c>
      <c r="F27" t="str" cm="1">
        <f t="array" aca="1" ref="F27" ca="1">IF(INDIRECT("Sheet2!V" &amp; 9 + (ROW(F27)-ROW($C$4))*7)=0, "", INDIRECT("Sheet2!V" &amp; 9 + (ROW(F27)-ROW($C$4))*7))</f>
        <v/>
      </c>
      <c r="G27" t="str" cm="1">
        <f t="array" aca="1" ref="G27" ca="1">IF(INDIRECT("Sheet2!W" &amp; 9 + (ROW(G27)-ROW($C$4))*7)=0, "", INDIRECT("Sheet2!W" &amp; 9 + (ROW(G27)-ROW($C$4))*7))</f>
        <v/>
      </c>
      <c r="H27" t="str" cm="1">
        <f t="array" aca="1" ref="H27" ca="1">IF(INDIRECT("Sheet2!X" &amp; 9 + (ROW(H27)-ROW($C$4))*7)=0, "", INDIRECT("Sheet2!X" &amp; 9 + (ROW(H27)-ROW($C$4))*7))</f>
        <v/>
      </c>
      <c r="I27" t="str" cm="1">
        <f t="array" aca="1" ref="I27" ca="1">IF(INDIRECT("Sheet2!Y" &amp; 9 + (ROW(I27)-ROW($C$4))*7)=0, "", INDIRECT("Sheet2!Y" &amp; 9 + (ROW(I27)-ROW($C$4))*7))</f>
        <v/>
      </c>
      <c r="J27" t="str" cm="1">
        <f t="array" aca="1" ref="J27" ca="1">IF(INDIRECT("Sheet2!Z" &amp; 9 + (ROW(J27)-ROW($C$4))*7)=0, "", INDIRECT("Sheet2!Z" &amp; 9 + (ROW(J27)-ROW($C$4))*7))</f>
        <v/>
      </c>
      <c r="K27" t="str" cm="1">
        <f t="array" aca="1" ref="K27" ca="1">IF(INDIRECT("Sheet2!AA" &amp; 9 + (ROW(K27)-ROW($C$4))*7)=0, "", INDIRECT("Sheet2!AA" &amp; 9 + (ROW(K27)-ROW($C$4))*7))</f>
        <v/>
      </c>
      <c r="L27" t="str" cm="1">
        <f t="array" aca="1" ref="L27" ca="1">IF(INDIRECT("Sheet2!AB" &amp; 9 + (ROW(L27)-ROW($C$4))*7)=0, "", INDIRECT("Sheet2!AB" &amp; 9 + (ROW(L27)-ROW($C$4))*7))</f>
        <v/>
      </c>
      <c r="M27" t="str" cm="1">
        <f t="array" aca="1" ref="M27" ca="1">IF(INDIRECT("Sheet2!AC" &amp; 9 + (ROW(M27)-ROW($C$4))*7)=0, "", INDIRECT("Sheet2!AC" &amp; 9 + (ROW(M27)-ROW($C$4))*7))</f>
        <v/>
      </c>
      <c r="N27" t="str" cm="1">
        <f t="array" aca="1" ref="N27" ca="1">IF(INDIRECT("Sheet2!AD" &amp; 9 + (ROW(N27)-ROW($C$4))*7)=0, "", INDIRECT("Sheet2!AD" &amp; 9 + (ROW(N27)-ROW($C$4))*7))</f>
        <v/>
      </c>
      <c r="O27" t="str" cm="1">
        <f t="array" aca="1" ref="O27" ca="1">IF(INDIRECT("Sheet2!AE" &amp; 9 + (ROW(O27)-ROW($C$4))*7)=0, "", INDIRECT("Sheet2!AE" &amp; 9 + (ROW(O27)-ROW($C$4))*7))</f>
        <v/>
      </c>
    </row>
    <row r="28" spans="3:15" x14ac:dyDescent="0.25">
      <c r="C28" s="28" t="str" cm="1">
        <f t="array" aca="1" ref="C28" ca="1">IF(INDIRECT("Sheet2!S" &amp; 9 + (ROW(C28)-ROW($C$4))*7)=0, "", INDIRECT("Sheet2!S" &amp; 9 + (ROW(C28)-ROW($C$4))*7))</f>
        <v/>
      </c>
      <c r="D28" t="str" cm="1">
        <f t="array" aca="1" ref="D28" ca="1">IF(INDIRECT("Sheet2!T" &amp; 9 + (ROW(D28)-ROW($C$4))*7)=0, "", INDIRECT("Sheet2!T" &amp; 9 + (ROW(D28)-ROW($C$4))*7))</f>
        <v/>
      </c>
      <c r="E28" t="str" cm="1">
        <f t="array" aca="1" ref="E28" ca="1">IF(INDIRECT("Sheet2!U" &amp; 9 + (ROW(E28)-ROW($C$4))*7)=0, "", INDIRECT("Sheet2!U" &amp; 9 + (ROW(E28)-ROW($C$4))*7))</f>
        <v/>
      </c>
      <c r="F28" t="str" cm="1">
        <f t="array" aca="1" ref="F28" ca="1">IF(INDIRECT("Sheet2!V" &amp; 9 + (ROW(F28)-ROW($C$4))*7)=0, "", INDIRECT("Sheet2!V" &amp; 9 + (ROW(F28)-ROW($C$4))*7))</f>
        <v/>
      </c>
      <c r="G28" t="str" cm="1">
        <f t="array" aca="1" ref="G28" ca="1">IF(INDIRECT("Sheet2!W" &amp; 9 + (ROW(G28)-ROW($C$4))*7)=0, "", INDIRECT("Sheet2!W" &amp; 9 + (ROW(G28)-ROW($C$4))*7))</f>
        <v/>
      </c>
      <c r="H28" t="str" cm="1">
        <f t="array" aca="1" ref="H28" ca="1">IF(INDIRECT("Sheet2!X" &amp; 9 + (ROW(H28)-ROW($C$4))*7)=0, "", INDIRECT("Sheet2!X" &amp; 9 + (ROW(H28)-ROW($C$4))*7))</f>
        <v/>
      </c>
      <c r="I28" t="str" cm="1">
        <f t="array" aca="1" ref="I28" ca="1">IF(INDIRECT("Sheet2!Y" &amp; 9 + (ROW(I28)-ROW($C$4))*7)=0, "", INDIRECT("Sheet2!Y" &amp; 9 + (ROW(I28)-ROW($C$4))*7))</f>
        <v/>
      </c>
      <c r="J28" t="str" cm="1">
        <f t="array" aca="1" ref="J28" ca="1">IF(INDIRECT("Sheet2!Z" &amp; 9 + (ROW(J28)-ROW($C$4))*7)=0, "", INDIRECT("Sheet2!Z" &amp; 9 + (ROW(J28)-ROW($C$4))*7))</f>
        <v/>
      </c>
      <c r="K28" t="str" cm="1">
        <f t="array" aca="1" ref="K28" ca="1">IF(INDIRECT("Sheet2!AA" &amp; 9 + (ROW(K28)-ROW($C$4))*7)=0, "", INDIRECT("Sheet2!AA" &amp; 9 + (ROW(K28)-ROW($C$4))*7))</f>
        <v/>
      </c>
      <c r="L28" t="str" cm="1">
        <f t="array" aca="1" ref="L28" ca="1">IF(INDIRECT("Sheet2!AB" &amp; 9 + (ROW(L28)-ROW($C$4))*7)=0, "", INDIRECT("Sheet2!AB" &amp; 9 + (ROW(L28)-ROW($C$4))*7))</f>
        <v/>
      </c>
      <c r="M28" t="str" cm="1">
        <f t="array" aca="1" ref="M28" ca="1">IF(INDIRECT("Sheet2!AC" &amp; 9 + (ROW(M28)-ROW($C$4))*7)=0, "", INDIRECT("Sheet2!AC" &amp; 9 + (ROW(M28)-ROW($C$4))*7))</f>
        <v/>
      </c>
      <c r="N28" t="str" cm="1">
        <f t="array" aca="1" ref="N28" ca="1">IF(INDIRECT("Sheet2!AD" &amp; 9 + (ROW(N28)-ROW($C$4))*7)=0, "", INDIRECT("Sheet2!AD" &amp; 9 + (ROW(N28)-ROW($C$4))*7))</f>
        <v/>
      </c>
      <c r="O28" t="str" cm="1">
        <f t="array" aca="1" ref="O28" ca="1">IF(INDIRECT("Sheet2!AE" &amp; 9 + (ROW(O28)-ROW($C$4))*7)=0, "", INDIRECT("Sheet2!AE" &amp; 9 + (ROW(O28)-ROW($C$4))*7))</f>
        <v/>
      </c>
    </row>
    <row r="29" spans="3:15" x14ac:dyDescent="0.25">
      <c r="C29" s="28" t="str" cm="1">
        <f t="array" aca="1" ref="C29" ca="1">IF(INDIRECT("Sheet2!S" &amp; 9 + (ROW(C29)-ROW($C$4))*7)=0, "", INDIRECT("Sheet2!S" &amp; 9 + (ROW(C29)-ROW($C$4))*7))</f>
        <v/>
      </c>
      <c r="D29" t="str" cm="1">
        <f t="array" aca="1" ref="D29" ca="1">IF(INDIRECT("Sheet2!T" &amp; 9 + (ROW(D29)-ROW($C$4))*7)=0, "", INDIRECT("Sheet2!T" &amp; 9 + (ROW(D29)-ROW($C$4))*7))</f>
        <v/>
      </c>
      <c r="E29" t="str" cm="1">
        <f t="array" aca="1" ref="E29" ca="1">IF(INDIRECT("Sheet2!U" &amp; 9 + (ROW(E29)-ROW($C$4))*7)=0, "", INDIRECT("Sheet2!U" &amp; 9 + (ROW(E29)-ROW($C$4))*7))</f>
        <v/>
      </c>
      <c r="F29" t="str" cm="1">
        <f t="array" aca="1" ref="F29" ca="1">IF(INDIRECT("Sheet2!V" &amp; 9 + (ROW(F29)-ROW($C$4))*7)=0, "", INDIRECT("Sheet2!V" &amp; 9 + (ROW(F29)-ROW($C$4))*7))</f>
        <v/>
      </c>
      <c r="G29" t="str" cm="1">
        <f t="array" aca="1" ref="G29" ca="1">IF(INDIRECT("Sheet2!W" &amp; 9 + (ROW(G29)-ROW($C$4))*7)=0, "", INDIRECT("Sheet2!W" &amp; 9 + (ROW(G29)-ROW($C$4))*7))</f>
        <v/>
      </c>
      <c r="H29" t="str" cm="1">
        <f t="array" aca="1" ref="H29" ca="1">IF(INDIRECT("Sheet2!X" &amp; 9 + (ROW(H29)-ROW($C$4))*7)=0, "", INDIRECT("Sheet2!X" &amp; 9 + (ROW(H29)-ROW($C$4))*7))</f>
        <v/>
      </c>
      <c r="I29" t="str" cm="1">
        <f t="array" aca="1" ref="I29" ca="1">IF(INDIRECT("Sheet2!Y" &amp; 9 + (ROW(I29)-ROW($C$4))*7)=0, "", INDIRECT("Sheet2!Y" &amp; 9 + (ROW(I29)-ROW($C$4))*7))</f>
        <v/>
      </c>
      <c r="J29" t="str" cm="1">
        <f t="array" aca="1" ref="J29" ca="1">IF(INDIRECT("Sheet2!Z" &amp; 9 + (ROW(J29)-ROW($C$4))*7)=0, "", INDIRECT("Sheet2!Z" &amp; 9 + (ROW(J29)-ROW($C$4))*7))</f>
        <v/>
      </c>
      <c r="K29" t="str" cm="1">
        <f t="array" aca="1" ref="K29" ca="1">IF(INDIRECT("Sheet2!AA" &amp; 9 + (ROW(K29)-ROW($C$4))*7)=0, "", INDIRECT("Sheet2!AA" &amp; 9 + (ROW(K29)-ROW($C$4))*7))</f>
        <v/>
      </c>
      <c r="L29" t="str" cm="1">
        <f t="array" aca="1" ref="L29" ca="1">IF(INDIRECT("Sheet2!AB" &amp; 9 + (ROW(L29)-ROW($C$4))*7)=0, "", INDIRECT("Sheet2!AB" &amp; 9 + (ROW(L29)-ROW($C$4))*7))</f>
        <v/>
      </c>
      <c r="M29" t="str" cm="1">
        <f t="array" aca="1" ref="M29" ca="1">IF(INDIRECT("Sheet2!AC" &amp; 9 + (ROW(M29)-ROW($C$4))*7)=0, "", INDIRECT("Sheet2!AC" &amp; 9 + (ROW(M29)-ROW($C$4))*7))</f>
        <v/>
      </c>
      <c r="N29" t="str" cm="1">
        <f t="array" aca="1" ref="N29" ca="1">IF(INDIRECT("Sheet2!AD" &amp; 9 + (ROW(N29)-ROW($C$4))*7)=0, "", INDIRECT("Sheet2!AD" &amp; 9 + (ROW(N29)-ROW($C$4))*7))</f>
        <v/>
      </c>
      <c r="O29" t="str" cm="1">
        <f t="array" aca="1" ref="O29" ca="1">IF(INDIRECT("Sheet2!AE" &amp; 9 + (ROW(O29)-ROW($C$4))*7)=0, "", INDIRECT("Sheet2!AE" &amp; 9 + (ROW(O29)-ROW($C$4))*7))</f>
        <v/>
      </c>
    </row>
    <row r="30" spans="3:15" x14ac:dyDescent="0.25">
      <c r="C30" s="28" t="str" cm="1">
        <f t="array" aca="1" ref="C30" ca="1">IF(INDIRECT("Sheet2!S" &amp; 9 + (ROW(C30)-ROW($C$4))*7)=0, "", INDIRECT("Sheet2!S" &amp; 9 + (ROW(C30)-ROW($C$4))*7))</f>
        <v/>
      </c>
      <c r="D30" t="str" cm="1">
        <f t="array" aca="1" ref="D30" ca="1">IF(INDIRECT("Sheet2!T" &amp; 9 + (ROW(D30)-ROW($C$4))*7)=0, "", INDIRECT("Sheet2!T" &amp; 9 + (ROW(D30)-ROW($C$4))*7))</f>
        <v/>
      </c>
      <c r="E30" t="str" cm="1">
        <f t="array" aca="1" ref="E30" ca="1">IF(INDIRECT("Sheet2!U" &amp; 9 + (ROW(E30)-ROW($C$4))*7)=0, "", INDIRECT("Sheet2!U" &amp; 9 + (ROW(E30)-ROW($C$4))*7))</f>
        <v/>
      </c>
      <c r="F30" t="str" cm="1">
        <f t="array" aca="1" ref="F30" ca="1">IF(INDIRECT("Sheet2!V" &amp; 9 + (ROW(F30)-ROW($C$4))*7)=0, "", INDIRECT("Sheet2!V" &amp; 9 + (ROW(F30)-ROW($C$4))*7))</f>
        <v/>
      </c>
      <c r="G30" t="str" cm="1">
        <f t="array" aca="1" ref="G30" ca="1">IF(INDIRECT("Sheet2!W" &amp; 9 + (ROW(G30)-ROW($C$4))*7)=0, "", INDIRECT("Sheet2!W" &amp; 9 + (ROW(G30)-ROW($C$4))*7))</f>
        <v/>
      </c>
      <c r="H30" t="str" cm="1">
        <f t="array" aca="1" ref="H30" ca="1">IF(INDIRECT("Sheet2!X" &amp; 9 + (ROW(H30)-ROW($C$4))*7)=0, "", INDIRECT("Sheet2!X" &amp; 9 + (ROW(H30)-ROW($C$4))*7))</f>
        <v/>
      </c>
      <c r="I30" t="str" cm="1">
        <f t="array" aca="1" ref="I30" ca="1">IF(INDIRECT("Sheet2!Y" &amp; 9 + (ROW(I30)-ROW($C$4))*7)=0, "", INDIRECT("Sheet2!Y" &amp; 9 + (ROW(I30)-ROW($C$4))*7))</f>
        <v/>
      </c>
      <c r="J30" t="str" cm="1">
        <f t="array" aca="1" ref="J30" ca="1">IF(INDIRECT("Sheet2!Z" &amp; 9 + (ROW(J30)-ROW($C$4))*7)=0, "", INDIRECT("Sheet2!Z" &amp; 9 + (ROW(J30)-ROW($C$4))*7))</f>
        <v/>
      </c>
      <c r="K30" t="str" cm="1">
        <f t="array" aca="1" ref="K30" ca="1">IF(INDIRECT("Sheet2!AA" &amp; 9 + (ROW(K30)-ROW($C$4))*7)=0, "", INDIRECT("Sheet2!AA" &amp; 9 + (ROW(K30)-ROW($C$4))*7))</f>
        <v/>
      </c>
      <c r="L30" t="str" cm="1">
        <f t="array" aca="1" ref="L30" ca="1">IF(INDIRECT("Sheet2!AB" &amp; 9 + (ROW(L30)-ROW($C$4))*7)=0, "", INDIRECT("Sheet2!AB" &amp; 9 + (ROW(L30)-ROW($C$4))*7))</f>
        <v/>
      </c>
      <c r="M30" t="str" cm="1">
        <f t="array" aca="1" ref="M30" ca="1">IF(INDIRECT("Sheet2!AC" &amp; 9 + (ROW(M30)-ROW($C$4))*7)=0, "", INDIRECT("Sheet2!AC" &amp; 9 + (ROW(M30)-ROW($C$4))*7))</f>
        <v/>
      </c>
      <c r="N30" t="str" cm="1">
        <f t="array" aca="1" ref="N30" ca="1">IF(INDIRECT("Sheet2!AD" &amp; 9 + (ROW(N30)-ROW($C$4))*7)=0, "", INDIRECT("Sheet2!AD" &amp; 9 + (ROW(N30)-ROW($C$4))*7))</f>
        <v/>
      </c>
      <c r="O30" t="str" cm="1">
        <f t="array" aca="1" ref="O30" ca="1">IF(INDIRECT("Sheet2!AE" &amp; 9 + (ROW(O30)-ROW($C$4))*7)=0, "", INDIRECT("Sheet2!AE" &amp; 9 + (ROW(O30)-ROW($C$4))*7))</f>
        <v/>
      </c>
    </row>
    <row r="31" spans="3:15" x14ac:dyDescent="0.25">
      <c r="C31" s="28" t="str" cm="1">
        <f t="array" aca="1" ref="C31" ca="1">IF(INDIRECT("Sheet2!S" &amp; 9 + (ROW(C31)-ROW($C$4))*7)=0, "", INDIRECT("Sheet2!S" &amp; 9 + (ROW(C31)-ROW($C$4))*7))</f>
        <v/>
      </c>
      <c r="D31" t="str" cm="1">
        <f t="array" aca="1" ref="D31" ca="1">IF(INDIRECT("Sheet2!T" &amp; 9 + (ROW(D31)-ROW($C$4))*7)=0, "", INDIRECT("Sheet2!T" &amp; 9 + (ROW(D31)-ROW($C$4))*7))</f>
        <v/>
      </c>
      <c r="E31" t="str" cm="1">
        <f t="array" aca="1" ref="E31" ca="1">IF(INDIRECT("Sheet2!U" &amp; 9 + (ROW(E31)-ROW($C$4))*7)=0, "", INDIRECT("Sheet2!U" &amp; 9 + (ROW(E31)-ROW($C$4))*7))</f>
        <v/>
      </c>
      <c r="F31" t="str" cm="1">
        <f t="array" aca="1" ref="F31" ca="1">IF(INDIRECT("Sheet2!V" &amp; 9 + (ROW(F31)-ROW($C$4))*7)=0, "", INDIRECT("Sheet2!V" &amp; 9 + (ROW(F31)-ROW($C$4))*7))</f>
        <v/>
      </c>
      <c r="G31" t="str" cm="1">
        <f t="array" aca="1" ref="G31" ca="1">IF(INDIRECT("Sheet2!W" &amp; 9 + (ROW(G31)-ROW($C$4))*7)=0, "", INDIRECT("Sheet2!W" &amp; 9 + (ROW(G31)-ROW($C$4))*7))</f>
        <v/>
      </c>
      <c r="H31" t="str" cm="1">
        <f t="array" aca="1" ref="H31" ca="1">IF(INDIRECT("Sheet2!X" &amp; 9 + (ROW(H31)-ROW($C$4))*7)=0, "", INDIRECT("Sheet2!X" &amp; 9 + (ROW(H31)-ROW($C$4))*7))</f>
        <v/>
      </c>
      <c r="I31" t="str" cm="1">
        <f t="array" aca="1" ref="I31" ca="1">IF(INDIRECT("Sheet2!Y" &amp; 9 + (ROW(I31)-ROW($C$4))*7)=0, "", INDIRECT("Sheet2!Y" &amp; 9 + (ROW(I31)-ROW($C$4))*7))</f>
        <v/>
      </c>
      <c r="J31" t="str" cm="1">
        <f t="array" aca="1" ref="J31" ca="1">IF(INDIRECT("Sheet2!Z" &amp; 9 + (ROW(J31)-ROW($C$4))*7)=0, "", INDIRECT("Sheet2!Z" &amp; 9 + (ROW(J31)-ROW($C$4))*7))</f>
        <v/>
      </c>
      <c r="K31" t="str" cm="1">
        <f t="array" aca="1" ref="K31" ca="1">IF(INDIRECT("Sheet2!AA" &amp; 9 + (ROW(K31)-ROW($C$4))*7)=0, "", INDIRECT("Sheet2!AA" &amp; 9 + (ROW(K31)-ROW($C$4))*7))</f>
        <v/>
      </c>
      <c r="L31" t="str" cm="1">
        <f t="array" aca="1" ref="L31" ca="1">IF(INDIRECT("Sheet2!AB" &amp; 9 + (ROW(L31)-ROW($C$4))*7)=0, "", INDIRECT("Sheet2!AB" &amp; 9 + (ROW(L31)-ROW($C$4))*7))</f>
        <v/>
      </c>
      <c r="M31" t="str" cm="1">
        <f t="array" aca="1" ref="M31" ca="1">IF(INDIRECT("Sheet2!AC" &amp; 9 + (ROW(M31)-ROW($C$4))*7)=0, "", INDIRECT("Sheet2!AC" &amp; 9 + (ROW(M31)-ROW($C$4))*7))</f>
        <v/>
      </c>
      <c r="N31" t="str" cm="1">
        <f t="array" aca="1" ref="N31" ca="1">IF(INDIRECT("Sheet2!AD" &amp; 9 + (ROW(N31)-ROW($C$4))*7)=0, "", INDIRECT("Sheet2!AD" &amp; 9 + (ROW(N31)-ROW($C$4))*7))</f>
        <v/>
      </c>
      <c r="O31" t="str" cm="1">
        <f t="array" aca="1" ref="O31" ca="1">IF(INDIRECT("Sheet2!AE" &amp; 9 + (ROW(O31)-ROW($C$4))*7)=0, "", INDIRECT("Sheet2!AE" &amp; 9 + (ROW(O31)-ROW($C$4))*7))</f>
        <v/>
      </c>
    </row>
    <row r="32" spans="3:15" x14ac:dyDescent="0.25">
      <c r="C32" s="28" t="str" cm="1">
        <f t="array" aca="1" ref="C32" ca="1">IF(INDIRECT("Sheet2!S" &amp; 9 + (ROW(C32)-ROW($C$4))*7)=0, "", INDIRECT("Sheet2!S" &amp; 9 + (ROW(C32)-ROW($C$4))*7))</f>
        <v/>
      </c>
      <c r="D32" t="str" cm="1">
        <f t="array" aca="1" ref="D32" ca="1">IF(INDIRECT("Sheet2!T" &amp; 9 + (ROW(D32)-ROW($C$4))*7)=0, "", INDIRECT("Sheet2!T" &amp; 9 + (ROW(D32)-ROW($C$4))*7))</f>
        <v/>
      </c>
      <c r="E32" t="str" cm="1">
        <f t="array" aca="1" ref="E32" ca="1">IF(INDIRECT("Sheet2!U" &amp; 9 + (ROW(E32)-ROW($C$4))*7)=0, "", INDIRECT("Sheet2!U" &amp; 9 + (ROW(E32)-ROW($C$4))*7))</f>
        <v/>
      </c>
      <c r="F32" t="str" cm="1">
        <f t="array" aca="1" ref="F32" ca="1">IF(INDIRECT("Sheet2!V" &amp; 9 + (ROW(F32)-ROW($C$4))*7)=0, "", INDIRECT("Sheet2!V" &amp; 9 + (ROW(F32)-ROW($C$4))*7))</f>
        <v/>
      </c>
      <c r="G32" t="str" cm="1">
        <f t="array" aca="1" ref="G32" ca="1">IF(INDIRECT("Sheet2!W" &amp; 9 + (ROW(G32)-ROW($C$4))*7)=0, "", INDIRECT("Sheet2!W" &amp; 9 + (ROW(G32)-ROW($C$4))*7))</f>
        <v/>
      </c>
      <c r="H32" t="str" cm="1">
        <f t="array" aca="1" ref="H32" ca="1">IF(INDIRECT("Sheet2!X" &amp; 9 + (ROW(H32)-ROW($C$4))*7)=0, "", INDIRECT("Sheet2!X" &amp; 9 + (ROW(H32)-ROW($C$4))*7))</f>
        <v/>
      </c>
      <c r="I32" t="str" cm="1">
        <f t="array" aca="1" ref="I32" ca="1">IF(INDIRECT("Sheet2!Y" &amp; 9 + (ROW(I32)-ROW($C$4))*7)=0, "", INDIRECT("Sheet2!Y" &amp; 9 + (ROW(I32)-ROW($C$4))*7))</f>
        <v/>
      </c>
      <c r="J32" t="str" cm="1">
        <f t="array" aca="1" ref="J32" ca="1">IF(INDIRECT("Sheet2!Z" &amp; 9 + (ROW(J32)-ROW($C$4))*7)=0, "", INDIRECT("Sheet2!Z" &amp; 9 + (ROW(J32)-ROW($C$4))*7))</f>
        <v/>
      </c>
      <c r="K32" t="str" cm="1">
        <f t="array" aca="1" ref="K32" ca="1">IF(INDIRECT("Sheet2!AA" &amp; 9 + (ROW(K32)-ROW($C$4))*7)=0, "", INDIRECT("Sheet2!AA" &amp; 9 + (ROW(K32)-ROW($C$4))*7))</f>
        <v/>
      </c>
      <c r="L32" t="str" cm="1">
        <f t="array" aca="1" ref="L32" ca="1">IF(INDIRECT("Sheet2!AB" &amp; 9 + (ROW(L32)-ROW($C$4))*7)=0, "", INDIRECT("Sheet2!AB" &amp; 9 + (ROW(L32)-ROW($C$4))*7))</f>
        <v/>
      </c>
      <c r="M32" t="str" cm="1">
        <f t="array" aca="1" ref="M32" ca="1">IF(INDIRECT("Sheet2!AC" &amp; 9 + (ROW(M32)-ROW($C$4))*7)=0, "", INDIRECT("Sheet2!AC" &amp; 9 + (ROW(M32)-ROW($C$4))*7))</f>
        <v/>
      </c>
      <c r="N32" t="str" cm="1">
        <f t="array" aca="1" ref="N32" ca="1">IF(INDIRECT("Sheet2!AD" &amp; 9 + (ROW(N32)-ROW($C$4))*7)=0, "", INDIRECT("Sheet2!AD" &amp; 9 + (ROW(N32)-ROW($C$4))*7))</f>
        <v/>
      </c>
      <c r="O32" t="str" cm="1">
        <f t="array" aca="1" ref="O32" ca="1">IF(INDIRECT("Sheet2!AE" &amp; 9 + (ROW(O32)-ROW($C$4))*7)=0, "", INDIRECT("Sheet2!AE" &amp; 9 + (ROW(O32)-ROW($C$4))*7))</f>
        <v/>
      </c>
    </row>
    <row r="33" spans="2:15" x14ac:dyDescent="0.25">
      <c r="C33" s="28" t="str" cm="1">
        <f t="array" aca="1" ref="C33" ca="1">IF(INDIRECT("Sheet2!S" &amp; 9 + (ROW(C33)-ROW($C$4))*7)=0, "", INDIRECT("Sheet2!S" &amp; 9 + (ROW(C33)-ROW($C$4))*7))</f>
        <v/>
      </c>
      <c r="D33" t="str" cm="1">
        <f t="array" aca="1" ref="D33" ca="1">IF(INDIRECT("Sheet2!T" &amp; 9 + (ROW(D33)-ROW($C$4))*7)=0, "", INDIRECT("Sheet2!T" &amp; 9 + (ROW(D33)-ROW($C$4))*7))</f>
        <v/>
      </c>
      <c r="E33" t="str" cm="1">
        <f t="array" aca="1" ref="E33" ca="1">IF(INDIRECT("Sheet2!U" &amp; 9 + (ROW(E33)-ROW($C$4))*7)=0, "", INDIRECT("Sheet2!U" &amp; 9 + (ROW(E33)-ROW($C$4))*7))</f>
        <v/>
      </c>
      <c r="F33" t="str" cm="1">
        <f t="array" aca="1" ref="F33" ca="1">IF(INDIRECT("Sheet2!V" &amp; 9 + (ROW(F33)-ROW($C$4))*7)=0, "", INDIRECT("Sheet2!V" &amp; 9 + (ROW(F33)-ROW($C$4))*7))</f>
        <v/>
      </c>
      <c r="G33" t="str" cm="1">
        <f t="array" aca="1" ref="G33" ca="1">IF(INDIRECT("Sheet2!W" &amp; 9 + (ROW(G33)-ROW($C$4))*7)=0, "", INDIRECT("Sheet2!W" &amp; 9 + (ROW(G33)-ROW($C$4))*7))</f>
        <v/>
      </c>
      <c r="H33" t="str" cm="1">
        <f t="array" aca="1" ref="H33" ca="1">IF(INDIRECT("Sheet2!X" &amp; 9 + (ROW(H33)-ROW($C$4))*7)=0, "", INDIRECT("Sheet2!X" &amp; 9 + (ROW(H33)-ROW($C$4))*7))</f>
        <v/>
      </c>
      <c r="I33" t="str" cm="1">
        <f t="array" aca="1" ref="I33" ca="1">IF(INDIRECT("Sheet2!Y" &amp; 9 + (ROW(I33)-ROW($C$4))*7)=0, "", INDIRECT("Sheet2!Y" &amp; 9 + (ROW(I33)-ROW($C$4))*7))</f>
        <v/>
      </c>
      <c r="J33" t="str" cm="1">
        <f t="array" aca="1" ref="J33" ca="1">IF(INDIRECT("Sheet2!Z" &amp; 9 + (ROW(J33)-ROW($C$4))*7)=0, "", INDIRECT("Sheet2!Z" &amp; 9 + (ROW(J33)-ROW($C$4))*7))</f>
        <v/>
      </c>
      <c r="K33" t="str" cm="1">
        <f t="array" aca="1" ref="K33" ca="1">IF(INDIRECT("Sheet2!AA" &amp; 9 + (ROW(K33)-ROW($C$4))*7)=0, "", INDIRECT("Sheet2!AA" &amp; 9 + (ROW(K33)-ROW($C$4))*7))</f>
        <v/>
      </c>
      <c r="L33" t="str" cm="1">
        <f t="array" aca="1" ref="L33" ca="1">IF(INDIRECT("Sheet2!AB" &amp; 9 + (ROW(L33)-ROW($C$4))*7)=0, "", INDIRECT("Sheet2!AB" &amp; 9 + (ROW(L33)-ROW($C$4))*7))</f>
        <v/>
      </c>
      <c r="M33" t="str" cm="1">
        <f t="array" aca="1" ref="M33" ca="1">IF(INDIRECT("Sheet2!AC" &amp; 9 + (ROW(M33)-ROW($C$4))*7)=0, "", INDIRECT("Sheet2!AC" &amp; 9 + (ROW(M33)-ROW($C$4))*7))</f>
        <v/>
      </c>
      <c r="N33" t="str" cm="1">
        <f t="array" aca="1" ref="N33" ca="1">IF(INDIRECT("Sheet2!AD" &amp; 9 + (ROW(N33)-ROW($C$4))*7)=0, "", INDIRECT("Sheet2!AD" &amp; 9 + (ROW(N33)-ROW($C$4))*7))</f>
        <v/>
      </c>
      <c r="O33" t="str" cm="1">
        <f t="array" aca="1" ref="O33" ca="1">IF(INDIRECT("Sheet2!AE" &amp; 9 + (ROW(O33)-ROW($C$4))*7)=0, "", INDIRECT("Sheet2!AE" &amp; 9 + (ROW(O33)-ROW($C$4))*7))</f>
        <v/>
      </c>
    </row>
    <row r="34" spans="2:15" x14ac:dyDescent="0.25">
      <c r="C34" s="28" t="str" cm="1">
        <f t="array" aca="1" ref="C34" ca="1">IF(INDIRECT("Sheet2!S" &amp; 9 + (ROW(C34)-ROW($C$4))*7)=0, "", INDIRECT("Sheet2!S" &amp; 9 + (ROW(C34)-ROW($C$4))*7))</f>
        <v/>
      </c>
      <c r="D34" t="str" cm="1">
        <f t="array" aca="1" ref="D34" ca="1">IF(INDIRECT("Sheet2!T" &amp; 9 + (ROW(D34)-ROW($C$4))*7)=0, "", INDIRECT("Sheet2!T" &amp; 9 + (ROW(D34)-ROW($C$4))*7))</f>
        <v/>
      </c>
      <c r="E34" t="str" cm="1">
        <f t="array" aca="1" ref="E34" ca="1">IF(INDIRECT("Sheet2!U" &amp; 9 + (ROW(E34)-ROW($C$4))*7)=0, "", INDIRECT("Sheet2!U" &amp; 9 + (ROW(E34)-ROW($C$4))*7))</f>
        <v/>
      </c>
      <c r="F34" t="str" cm="1">
        <f t="array" aca="1" ref="F34" ca="1">IF(INDIRECT("Sheet2!V" &amp; 9 + (ROW(F34)-ROW($C$4))*7)=0, "", INDIRECT("Sheet2!V" &amp; 9 + (ROW(F34)-ROW($C$4))*7))</f>
        <v/>
      </c>
      <c r="G34" t="str" cm="1">
        <f t="array" aca="1" ref="G34" ca="1">IF(INDIRECT("Sheet2!W" &amp; 9 + (ROW(G34)-ROW($C$4))*7)=0, "", INDIRECT("Sheet2!W" &amp; 9 + (ROW(G34)-ROW($C$4))*7))</f>
        <v/>
      </c>
      <c r="H34" t="str" cm="1">
        <f t="array" aca="1" ref="H34" ca="1">IF(INDIRECT("Sheet2!X" &amp; 9 + (ROW(H34)-ROW($C$4))*7)=0, "", INDIRECT("Sheet2!X" &amp; 9 + (ROW(H34)-ROW($C$4))*7))</f>
        <v/>
      </c>
      <c r="I34" t="str" cm="1">
        <f t="array" aca="1" ref="I34" ca="1">IF(INDIRECT("Sheet2!Y" &amp; 9 + (ROW(I34)-ROW($C$4))*7)=0, "", INDIRECT("Sheet2!Y" &amp; 9 + (ROW(I34)-ROW($C$4))*7))</f>
        <v/>
      </c>
      <c r="J34" t="str" cm="1">
        <f t="array" aca="1" ref="J34" ca="1">IF(INDIRECT("Sheet2!Z" &amp; 9 + (ROW(J34)-ROW($C$4))*7)=0, "", INDIRECT("Sheet2!Z" &amp; 9 + (ROW(J34)-ROW($C$4))*7))</f>
        <v/>
      </c>
      <c r="K34" t="str" cm="1">
        <f t="array" aca="1" ref="K34" ca="1">IF(INDIRECT("Sheet2!AA" &amp; 9 + (ROW(K34)-ROW($C$4))*7)=0, "", INDIRECT("Sheet2!AA" &amp; 9 + (ROW(K34)-ROW($C$4))*7))</f>
        <v/>
      </c>
      <c r="L34" t="str" cm="1">
        <f t="array" aca="1" ref="L34" ca="1">IF(INDIRECT("Sheet2!AB" &amp; 9 + (ROW(L34)-ROW($C$4))*7)=0, "", INDIRECT("Sheet2!AB" &amp; 9 + (ROW(L34)-ROW($C$4))*7))</f>
        <v/>
      </c>
      <c r="M34" t="str" cm="1">
        <f t="array" aca="1" ref="M34" ca="1">IF(INDIRECT("Sheet2!AC" &amp; 9 + (ROW(M34)-ROW($C$4))*7)=0, "", INDIRECT("Sheet2!AC" &amp; 9 + (ROW(M34)-ROW($C$4))*7))</f>
        <v/>
      </c>
      <c r="N34" t="str" cm="1">
        <f t="array" aca="1" ref="N34" ca="1">IF(INDIRECT("Sheet2!AD" &amp; 9 + (ROW(N34)-ROW($C$4))*7)=0, "", INDIRECT("Sheet2!AD" &amp; 9 + (ROW(N34)-ROW($C$4))*7))</f>
        <v/>
      </c>
      <c r="O34" t="str" cm="1">
        <f t="array" aca="1" ref="O34" ca="1">IF(INDIRECT("Sheet2!AE" &amp; 9 + (ROW(O34)-ROW($C$4))*7)=0, "", INDIRECT("Sheet2!AE" &amp; 9 + (ROW(O34)-ROW($C$4))*7))</f>
        <v/>
      </c>
    </row>
    <row r="35" spans="2:15" x14ac:dyDescent="0.25">
      <c r="C35" s="28" t="str" cm="1">
        <f t="array" aca="1" ref="C35" ca="1">IF(INDIRECT("Sheet2!S" &amp; 9 + (ROW(C35)-ROW($C$4))*7)=0, "", INDIRECT("Sheet2!S" &amp; 9 + (ROW(C35)-ROW($C$4))*7))</f>
        <v/>
      </c>
      <c r="D35" t="str" cm="1">
        <f t="array" aca="1" ref="D35" ca="1">IF(INDIRECT("Sheet2!T" &amp; 9 + (ROW(D35)-ROW($C$4))*7)=0, "", INDIRECT("Sheet2!T" &amp; 9 + (ROW(D35)-ROW($C$4))*7))</f>
        <v/>
      </c>
      <c r="E35" t="str" cm="1">
        <f t="array" aca="1" ref="E35" ca="1">IF(INDIRECT("Sheet2!U" &amp; 9 + (ROW(E35)-ROW($C$4))*7)=0, "", INDIRECT("Sheet2!U" &amp; 9 + (ROW(E35)-ROW($C$4))*7))</f>
        <v/>
      </c>
      <c r="F35" t="str" cm="1">
        <f t="array" aca="1" ref="F35" ca="1">IF(INDIRECT("Sheet2!V" &amp; 9 + (ROW(F35)-ROW($C$4))*7)=0, "", INDIRECT("Sheet2!V" &amp; 9 + (ROW(F35)-ROW($C$4))*7))</f>
        <v/>
      </c>
      <c r="G35" t="str" cm="1">
        <f t="array" aca="1" ref="G35" ca="1">IF(INDIRECT("Sheet2!W" &amp; 9 + (ROW(G35)-ROW($C$4))*7)=0, "", INDIRECT("Sheet2!W" &amp; 9 + (ROW(G35)-ROW($C$4))*7))</f>
        <v/>
      </c>
      <c r="H35" t="str" cm="1">
        <f t="array" aca="1" ref="H35" ca="1">IF(INDIRECT("Sheet2!X" &amp; 9 + (ROW(H35)-ROW($C$4))*7)=0, "", INDIRECT("Sheet2!X" &amp; 9 + (ROW(H35)-ROW($C$4))*7))</f>
        <v/>
      </c>
      <c r="I35" t="str" cm="1">
        <f t="array" aca="1" ref="I35" ca="1">IF(INDIRECT("Sheet2!Y" &amp; 9 + (ROW(I35)-ROW($C$4))*7)=0, "", INDIRECT("Sheet2!Y" &amp; 9 + (ROW(I35)-ROW($C$4))*7))</f>
        <v/>
      </c>
      <c r="J35" t="str" cm="1">
        <f t="array" aca="1" ref="J35" ca="1">IF(INDIRECT("Sheet2!Z" &amp; 9 + (ROW(J35)-ROW($C$4))*7)=0, "", INDIRECT("Sheet2!Z" &amp; 9 + (ROW(J35)-ROW($C$4))*7))</f>
        <v/>
      </c>
      <c r="K35" t="str" cm="1">
        <f t="array" aca="1" ref="K35" ca="1">IF(INDIRECT("Sheet2!AA" &amp; 9 + (ROW(K35)-ROW($C$4))*7)=0, "", INDIRECT("Sheet2!AA" &amp; 9 + (ROW(K35)-ROW($C$4))*7))</f>
        <v/>
      </c>
      <c r="L35" t="str" cm="1">
        <f t="array" aca="1" ref="L35" ca="1">IF(INDIRECT("Sheet2!AB" &amp; 9 + (ROW(L35)-ROW($C$4))*7)=0, "", INDIRECT("Sheet2!AB" &amp; 9 + (ROW(L35)-ROW($C$4))*7))</f>
        <v/>
      </c>
      <c r="M35" t="str" cm="1">
        <f t="array" aca="1" ref="M35" ca="1">IF(INDIRECT("Sheet2!AC" &amp; 9 + (ROW(M35)-ROW($C$4))*7)=0, "", INDIRECT("Sheet2!AC" &amp; 9 + (ROW(M35)-ROW($C$4))*7))</f>
        <v/>
      </c>
      <c r="N35" t="str" cm="1">
        <f t="array" aca="1" ref="N35" ca="1">IF(INDIRECT("Sheet2!AD" &amp; 9 + (ROW(N35)-ROW($C$4))*7)=0, "", INDIRECT("Sheet2!AD" &amp; 9 + (ROW(N35)-ROW($C$4))*7))</f>
        <v/>
      </c>
      <c r="O35" t="str" cm="1">
        <f t="array" aca="1" ref="O35" ca="1">IF(INDIRECT("Sheet2!AE" &amp; 9 + (ROW(O35)-ROW($C$4))*7)=0, "", INDIRECT("Sheet2!AE" &amp; 9 + (ROW(O35)-ROW($C$4))*7))</f>
        <v/>
      </c>
    </row>
    <row r="36" spans="2:15" x14ac:dyDescent="0.25">
      <c r="C36" s="28" t="str" cm="1">
        <f t="array" aca="1" ref="C36" ca="1">IF(INDIRECT("Sheet2!S" &amp; 9 + (ROW(C36)-ROW($C$4))*7)=0, "", INDIRECT("Sheet2!S" &amp; 9 + (ROW(C36)-ROW($C$4))*7))</f>
        <v/>
      </c>
      <c r="D36" t="str" cm="1">
        <f t="array" aca="1" ref="D36" ca="1">IF(INDIRECT("Sheet2!T" &amp; 9 + (ROW(D36)-ROW($C$4))*7)=0, "", INDIRECT("Sheet2!T" &amp; 9 + (ROW(D36)-ROW($C$4))*7))</f>
        <v/>
      </c>
      <c r="E36" t="str" cm="1">
        <f t="array" aca="1" ref="E36" ca="1">IF(INDIRECT("Sheet2!U" &amp; 9 + (ROW(E36)-ROW($C$4))*7)=0, "", INDIRECT("Sheet2!U" &amp; 9 + (ROW(E36)-ROW($C$4))*7))</f>
        <v/>
      </c>
      <c r="F36" t="str" cm="1">
        <f t="array" aca="1" ref="F36" ca="1">IF(INDIRECT("Sheet2!V" &amp; 9 + (ROW(F36)-ROW($C$4))*7)=0, "", INDIRECT("Sheet2!V" &amp; 9 + (ROW(F36)-ROW($C$4))*7))</f>
        <v/>
      </c>
      <c r="G36" t="str" cm="1">
        <f t="array" aca="1" ref="G36" ca="1">IF(INDIRECT("Sheet2!W" &amp; 9 + (ROW(G36)-ROW($C$4))*7)=0, "", INDIRECT("Sheet2!W" &amp; 9 + (ROW(G36)-ROW($C$4))*7))</f>
        <v/>
      </c>
      <c r="H36" t="str" cm="1">
        <f t="array" aca="1" ref="H36" ca="1">IF(INDIRECT("Sheet2!X" &amp; 9 + (ROW(H36)-ROW($C$4))*7)=0, "", INDIRECT("Sheet2!X" &amp; 9 + (ROW(H36)-ROW($C$4))*7))</f>
        <v/>
      </c>
      <c r="I36" t="str" cm="1">
        <f t="array" aca="1" ref="I36" ca="1">IF(INDIRECT("Sheet2!Y" &amp; 9 + (ROW(I36)-ROW($C$4))*7)=0, "", INDIRECT("Sheet2!Y" &amp; 9 + (ROW(I36)-ROW($C$4))*7))</f>
        <v/>
      </c>
      <c r="J36" t="str" cm="1">
        <f t="array" aca="1" ref="J36" ca="1">IF(INDIRECT("Sheet2!Z" &amp; 9 + (ROW(J36)-ROW($C$4))*7)=0, "", INDIRECT("Sheet2!Z" &amp; 9 + (ROW(J36)-ROW($C$4))*7))</f>
        <v/>
      </c>
      <c r="K36" t="str" cm="1">
        <f t="array" aca="1" ref="K36" ca="1">IF(INDIRECT("Sheet2!AA" &amp; 9 + (ROW(K36)-ROW($C$4))*7)=0, "", INDIRECT("Sheet2!AA" &amp; 9 + (ROW(K36)-ROW($C$4))*7))</f>
        <v/>
      </c>
      <c r="L36" t="str" cm="1">
        <f t="array" aca="1" ref="L36" ca="1">IF(INDIRECT("Sheet2!AB" &amp; 9 + (ROW(L36)-ROW($C$4))*7)=0, "", INDIRECT("Sheet2!AB" &amp; 9 + (ROW(L36)-ROW($C$4))*7))</f>
        <v/>
      </c>
      <c r="M36" t="str" cm="1">
        <f t="array" aca="1" ref="M36" ca="1">IF(INDIRECT("Sheet2!AC" &amp; 9 + (ROW(M36)-ROW($C$4))*7)=0, "", INDIRECT("Sheet2!AC" &amp; 9 + (ROW(M36)-ROW($C$4))*7))</f>
        <v/>
      </c>
      <c r="N36" t="str" cm="1">
        <f t="array" aca="1" ref="N36" ca="1">IF(INDIRECT("Sheet2!AD" &amp; 9 + (ROW(N36)-ROW($C$4))*7)=0, "", INDIRECT("Sheet2!AD" &amp; 9 + (ROW(N36)-ROW($C$4))*7))</f>
        <v/>
      </c>
      <c r="O36" t="str" cm="1">
        <f t="array" aca="1" ref="O36" ca="1">IF(INDIRECT("Sheet2!AE" &amp; 9 + (ROW(O36)-ROW($C$4))*7)=0, "", INDIRECT("Sheet2!AE" &amp; 9 + (ROW(O36)-ROW($C$4))*7))</f>
        <v/>
      </c>
    </row>
    <row r="37" spans="2:15" x14ac:dyDescent="0.25">
      <c r="C37" s="28" t="str" cm="1">
        <f t="array" aca="1" ref="C37" ca="1">IF(INDIRECT("Sheet2!S" &amp; 9 + (ROW(C37)-ROW($C$4))*7)=0, "", INDIRECT("Sheet2!S" &amp; 9 + (ROW(C37)-ROW($C$4))*7))</f>
        <v/>
      </c>
      <c r="D37" t="str" cm="1">
        <f t="array" aca="1" ref="D37" ca="1">IF(INDIRECT("Sheet2!T" &amp; 9 + (ROW(D37)-ROW($C$4))*7)=0, "", INDIRECT("Sheet2!T" &amp; 9 + (ROW(D37)-ROW($C$4))*7))</f>
        <v/>
      </c>
      <c r="E37" t="str" cm="1">
        <f t="array" aca="1" ref="E37" ca="1">IF(INDIRECT("Sheet2!U" &amp; 9 + (ROW(E37)-ROW($C$4))*7)=0, "", INDIRECT("Sheet2!U" &amp; 9 + (ROW(E37)-ROW($C$4))*7))</f>
        <v/>
      </c>
      <c r="F37" t="str" cm="1">
        <f t="array" aca="1" ref="F37" ca="1">IF(INDIRECT("Sheet2!V" &amp; 9 + (ROW(F37)-ROW($C$4))*7)=0, "", INDIRECT("Sheet2!V" &amp; 9 + (ROW(F37)-ROW($C$4))*7))</f>
        <v/>
      </c>
      <c r="G37" t="str" cm="1">
        <f t="array" aca="1" ref="G37" ca="1">IF(INDIRECT("Sheet2!W" &amp; 9 + (ROW(G37)-ROW($C$4))*7)=0, "", INDIRECT("Sheet2!W" &amp; 9 + (ROW(G37)-ROW($C$4))*7))</f>
        <v/>
      </c>
      <c r="H37" t="str" cm="1">
        <f t="array" aca="1" ref="H37" ca="1">IF(INDIRECT("Sheet2!X" &amp; 9 + (ROW(H37)-ROW($C$4))*7)=0, "", INDIRECT("Sheet2!X" &amp; 9 + (ROW(H37)-ROW($C$4))*7))</f>
        <v/>
      </c>
      <c r="I37" t="str" cm="1">
        <f t="array" aca="1" ref="I37" ca="1">IF(INDIRECT("Sheet2!Y" &amp; 9 + (ROW(I37)-ROW($C$4))*7)=0, "", INDIRECT("Sheet2!Y" &amp; 9 + (ROW(I37)-ROW($C$4))*7))</f>
        <v/>
      </c>
      <c r="J37" t="str" cm="1">
        <f t="array" aca="1" ref="J37" ca="1">IF(INDIRECT("Sheet2!Z" &amp; 9 + (ROW(J37)-ROW($C$4))*7)=0, "", INDIRECT("Sheet2!Z" &amp; 9 + (ROW(J37)-ROW($C$4))*7))</f>
        <v/>
      </c>
      <c r="K37" t="str" cm="1">
        <f t="array" aca="1" ref="K37" ca="1">IF(INDIRECT("Sheet2!AA" &amp; 9 + (ROW(K37)-ROW($C$4))*7)=0, "", INDIRECT("Sheet2!AA" &amp; 9 + (ROW(K37)-ROW($C$4))*7))</f>
        <v/>
      </c>
      <c r="L37" t="str" cm="1">
        <f t="array" aca="1" ref="L37" ca="1">IF(INDIRECT("Sheet2!AB" &amp; 9 + (ROW(L37)-ROW($C$4))*7)=0, "", INDIRECT("Sheet2!AB" &amp; 9 + (ROW(L37)-ROW($C$4))*7))</f>
        <v/>
      </c>
      <c r="M37" t="str" cm="1">
        <f t="array" aca="1" ref="M37" ca="1">IF(INDIRECT("Sheet2!AC" &amp; 9 + (ROW(M37)-ROW($C$4))*7)=0, "", INDIRECT("Sheet2!AC" &amp; 9 + (ROW(M37)-ROW($C$4))*7))</f>
        <v/>
      </c>
      <c r="N37" t="str" cm="1">
        <f t="array" aca="1" ref="N37" ca="1">IF(INDIRECT("Sheet2!AD" &amp; 9 + (ROW(N37)-ROW($C$4))*7)=0, "", INDIRECT("Sheet2!AD" &amp; 9 + (ROW(N37)-ROW($C$4))*7))</f>
        <v/>
      </c>
      <c r="O37" t="str" cm="1">
        <f t="array" aca="1" ref="O37" ca="1">IF(INDIRECT("Sheet2!AE" &amp; 9 + (ROW(O37)-ROW($C$4))*7)=0, "", INDIRECT("Sheet2!AE" &amp; 9 + (ROW(O37)-ROW($C$4))*7))</f>
        <v/>
      </c>
    </row>
    <row r="38" spans="2:15" x14ac:dyDescent="0.25">
      <c r="C38" s="28" t="str" cm="1">
        <f t="array" aca="1" ref="C38" ca="1">IF(INDIRECT("Sheet2!S" &amp; 9 + (ROW(C38)-ROW($C$4))*7)=0, "", INDIRECT("Sheet2!S" &amp; 9 + (ROW(C38)-ROW($C$4))*7))</f>
        <v/>
      </c>
      <c r="D38" t="str" cm="1">
        <f t="array" aca="1" ref="D38" ca="1">IF(INDIRECT("Sheet2!T" &amp; 9 + (ROW(D38)-ROW($C$4))*7)=0, "", INDIRECT("Sheet2!T" &amp; 9 + (ROW(D38)-ROW($C$4))*7))</f>
        <v/>
      </c>
      <c r="E38" t="str" cm="1">
        <f t="array" aca="1" ref="E38" ca="1">IF(INDIRECT("Sheet2!U" &amp; 9 + (ROW(E38)-ROW($C$4))*7)=0, "", INDIRECT("Sheet2!U" &amp; 9 + (ROW(E38)-ROW($C$4))*7))</f>
        <v/>
      </c>
      <c r="F38" t="str" cm="1">
        <f t="array" aca="1" ref="F38" ca="1">IF(INDIRECT("Sheet2!V" &amp; 9 + (ROW(F38)-ROW($C$4))*7)=0, "", INDIRECT("Sheet2!V" &amp; 9 + (ROW(F38)-ROW($C$4))*7))</f>
        <v/>
      </c>
      <c r="G38" t="str" cm="1">
        <f t="array" aca="1" ref="G38" ca="1">IF(INDIRECT("Sheet2!W" &amp; 9 + (ROW(G38)-ROW($C$4))*7)=0, "", INDIRECT("Sheet2!W" &amp; 9 + (ROW(G38)-ROW($C$4))*7))</f>
        <v/>
      </c>
      <c r="H38" t="str" cm="1">
        <f t="array" aca="1" ref="H38" ca="1">IF(INDIRECT("Sheet2!X" &amp; 9 + (ROW(H38)-ROW($C$4))*7)=0, "", INDIRECT("Sheet2!X" &amp; 9 + (ROW(H38)-ROW($C$4))*7))</f>
        <v/>
      </c>
      <c r="I38" t="str" cm="1">
        <f t="array" aca="1" ref="I38" ca="1">IF(INDIRECT("Sheet2!Y" &amp; 9 + (ROW(I38)-ROW($C$4))*7)=0, "", INDIRECT("Sheet2!Y" &amp; 9 + (ROW(I38)-ROW($C$4))*7))</f>
        <v/>
      </c>
      <c r="J38" t="str" cm="1">
        <f t="array" aca="1" ref="J38" ca="1">IF(INDIRECT("Sheet2!Z" &amp; 9 + (ROW(J38)-ROW($C$4))*7)=0, "", INDIRECT("Sheet2!Z" &amp; 9 + (ROW(J38)-ROW($C$4))*7))</f>
        <v/>
      </c>
      <c r="K38" t="str" cm="1">
        <f t="array" aca="1" ref="K38" ca="1">IF(INDIRECT("Sheet2!AA" &amp; 9 + (ROW(K38)-ROW($C$4))*7)=0, "", INDIRECT("Sheet2!AA" &amp; 9 + (ROW(K38)-ROW($C$4))*7))</f>
        <v/>
      </c>
      <c r="L38" t="str" cm="1">
        <f t="array" aca="1" ref="L38" ca="1">IF(INDIRECT("Sheet2!AB" &amp; 9 + (ROW(L38)-ROW($C$4))*7)=0, "", INDIRECT("Sheet2!AB" &amp; 9 + (ROW(L38)-ROW($C$4))*7))</f>
        <v/>
      </c>
      <c r="M38" t="str" cm="1">
        <f t="array" aca="1" ref="M38" ca="1">IF(INDIRECT("Sheet2!AC" &amp; 9 + (ROW(M38)-ROW($C$4))*7)=0, "", INDIRECT("Sheet2!AC" &amp; 9 + (ROW(M38)-ROW($C$4))*7))</f>
        <v/>
      </c>
      <c r="N38" t="str" cm="1">
        <f t="array" aca="1" ref="N38" ca="1">IF(INDIRECT("Sheet2!AD" &amp; 9 + (ROW(N38)-ROW($C$4))*7)=0, "", INDIRECT("Sheet2!AD" &amp; 9 + (ROW(N38)-ROW($C$4))*7))</f>
        <v/>
      </c>
      <c r="O38" t="str" cm="1">
        <f t="array" aca="1" ref="O38" ca="1">IF(INDIRECT("Sheet2!AE" &amp; 9 + (ROW(O38)-ROW($C$4))*7)=0, "", INDIRECT("Sheet2!AE" &amp; 9 + (ROW(O38)-ROW($C$4))*7))</f>
        <v/>
      </c>
    </row>
    <row r="39" spans="2:15" x14ac:dyDescent="0.25">
      <c r="C39" s="28" t="str" cm="1">
        <f t="array" aca="1" ref="C39" ca="1">IF(INDIRECT("Sheet2!S" &amp; 9 + (ROW(C39)-ROW($C$4))*7)=0, "", INDIRECT("Sheet2!S" &amp; 9 + (ROW(C39)-ROW($C$4))*7))</f>
        <v/>
      </c>
      <c r="D39" t="str" cm="1">
        <f t="array" aca="1" ref="D39" ca="1">IF(INDIRECT("Sheet2!T" &amp; 9 + (ROW(D39)-ROW($C$4))*7)=0, "", INDIRECT("Sheet2!T" &amp; 9 + (ROW(D39)-ROW($C$4))*7))</f>
        <v/>
      </c>
      <c r="E39" t="str" cm="1">
        <f t="array" aca="1" ref="E39" ca="1">IF(INDIRECT("Sheet2!U" &amp; 9 + (ROW(E39)-ROW($C$4))*7)=0, "", INDIRECT("Sheet2!U" &amp; 9 + (ROW(E39)-ROW($C$4))*7))</f>
        <v/>
      </c>
      <c r="F39" t="str" cm="1">
        <f t="array" aca="1" ref="F39" ca="1">IF(INDIRECT("Sheet2!V" &amp; 9 + (ROW(F39)-ROW($C$4))*7)=0, "", INDIRECT("Sheet2!V" &amp; 9 + (ROW(F39)-ROW($C$4))*7))</f>
        <v/>
      </c>
      <c r="G39" t="str" cm="1">
        <f t="array" aca="1" ref="G39" ca="1">IF(INDIRECT("Sheet2!W" &amp; 9 + (ROW(G39)-ROW($C$4))*7)=0, "", INDIRECT("Sheet2!W" &amp; 9 + (ROW(G39)-ROW($C$4))*7))</f>
        <v/>
      </c>
      <c r="H39" t="str" cm="1">
        <f t="array" aca="1" ref="H39" ca="1">IF(INDIRECT("Sheet2!X" &amp; 9 + (ROW(H39)-ROW($C$4))*7)=0, "", INDIRECT("Sheet2!X" &amp; 9 + (ROW(H39)-ROW($C$4))*7))</f>
        <v/>
      </c>
      <c r="I39" t="str" cm="1">
        <f t="array" aca="1" ref="I39" ca="1">IF(INDIRECT("Sheet2!Y" &amp; 9 + (ROW(I39)-ROW($C$4))*7)=0, "", INDIRECT("Sheet2!Y" &amp; 9 + (ROW(I39)-ROW($C$4))*7))</f>
        <v/>
      </c>
      <c r="J39" t="str" cm="1">
        <f t="array" aca="1" ref="J39" ca="1">IF(INDIRECT("Sheet2!Z" &amp; 9 + (ROW(J39)-ROW($C$4))*7)=0, "", INDIRECT("Sheet2!Z" &amp; 9 + (ROW(J39)-ROW($C$4))*7))</f>
        <v/>
      </c>
      <c r="K39" t="str" cm="1">
        <f t="array" aca="1" ref="K39" ca="1">IF(INDIRECT("Sheet2!AA" &amp; 9 + (ROW(K39)-ROW($C$4))*7)=0, "", INDIRECT("Sheet2!AA" &amp; 9 + (ROW(K39)-ROW($C$4))*7))</f>
        <v/>
      </c>
      <c r="L39" t="str" cm="1">
        <f t="array" aca="1" ref="L39" ca="1">IF(INDIRECT("Sheet2!AB" &amp; 9 + (ROW(L39)-ROW($C$4))*7)=0, "", INDIRECT("Sheet2!AB" &amp; 9 + (ROW(L39)-ROW($C$4))*7))</f>
        <v/>
      </c>
      <c r="M39" t="str" cm="1">
        <f t="array" aca="1" ref="M39" ca="1">IF(INDIRECT("Sheet2!AC" &amp; 9 + (ROW(M39)-ROW($C$4))*7)=0, "", INDIRECT("Sheet2!AC" &amp; 9 + (ROW(M39)-ROW($C$4))*7))</f>
        <v/>
      </c>
      <c r="N39" t="str" cm="1">
        <f t="array" aca="1" ref="N39" ca="1">IF(INDIRECT("Sheet2!AD" &amp; 9 + (ROW(N39)-ROW($C$4))*7)=0, "", INDIRECT("Sheet2!AD" &amp; 9 + (ROW(N39)-ROW($C$4))*7))</f>
        <v/>
      </c>
      <c r="O39" t="str" cm="1">
        <f t="array" aca="1" ref="O39" ca="1">IF(INDIRECT("Sheet2!AE" &amp; 9 + (ROW(O39)-ROW($C$4))*7)=0, "", INDIRECT("Sheet2!AE" &amp; 9 + (ROW(O39)-ROW($C$4))*7))</f>
        <v/>
      </c>
    </row>
    <row r="40" spans="2:15" x14ac:dyDescent="0.25">
      <c r="C40" s="28" t="str" cm="1">
        <f t="array" aca="1" ref="C40" ca="1">IF(INDIRECT("Sheet2!S" &amp; 9 + (ROW(C40)-ROW($C$4))*7)=0, "", INDIRECT("Sheet2!S" &amp; 9 + (ROW(C40)-ROW($C$4))*7))</f>
        <v/>
      </c>
      <c r="D40" t="str" cm="1">
        <f t="array" aca="1" ref="D40" ca="1">IF(INDIRECT("Sheet2!T" &amp; 9 + (ROW(D40)-ROW($C$4))*7)=0, "", INDIRECT("Sheet2!T" &amp; 9 + (ROW(D40)-ROW($C$4))*7))</f>
        <v/>
      </c>
      <c r="E40" t="str" cm="1">
        <f t="array" aca="1" ref="E40" ca="1">IF(INDIRECT("Sheet2!U" &amp; 9 + (ROW(E40)-ROW($C$4))*7)=0, "", INDIRECT("Sheet2!U" &amp; 9 + (ROW(E40)-ROW($C$4))*7))</f>
        <v/>
      </c>
      <c r="F40" t="str" cm="1">
        <f t="array" aca="1" ref="F40" ca="1">IF(INDIRECT("Sheet2!V" &amp; 9 + (ROW(F40)-ROW($C$4))*7)=0, "", INDIRECT("Sheet2!V" &amp; 9 + (ROW(F40)-ROW($C$4))*7))</f>
        <v/>
      </c>
      <c r="G40" t="str" cm="1">
        <f t="array" aca="1" ref="G40" ca="1">IF(INDIRECT("Sheet2!W" &amp; 9 + (ROW(G40)-ROW($C$4))*7)=0, "", INDIRECT("Sheet2!W" &amp; 9 + (ROW(G40)-ROW($C$4))*7))</f>
        <v/>
      </c>
      <c r="H40" t="str" cm="1">
        <f t="array" aca="1" ref="H40" ca="1">IF(INDIRECT("Sheet2!X" &amp; 9 + (ROW(H40)-ROW($C$4))*7)=0, "", INDIRECT("Sheet2!X" &amp; 9 + (ROW(H40)-ROW($C$4))*7))</f>
        <v/>
      </c>
      <c r="I40" t="str" cm="1">
        <f t="array" aca="1" ref="I40" ca="1">IF(INDIRECT("Sheet2!Y" &amp; 9 + (ROW(I40)-ROW($C$4))*7)=0, "", INDIRECT("Sheet2!Y" &amp; 9 + (ROW(I40)-ROW($C$4))*7))</f>
        <v/>
      </c>
      <c r="J40" t="str" cm="1">
        <f t="array" aca="1" ref="J40" ca="1">IF(INDIRECT("Sheet2!Z" &amp; 9 + (ROW(J40)-ROW($C$4))*7)=0, "", INDIRECT("Sheet2!Z" &amp; 9 + (ROW(J40)-ROW($C$4))*7))</f>
        <v/>
      </c>
      <c r="K40" t="str" cm="1">
        <f t="array" aca="1" ref="K40" ca="1">IF(INDIRECT("Sheet2!AA" &amp; 9 + (ROW(K40)-ROW($C$4))*7)=0, "", INDIRECT("Sheet2!AA" &amp; 9 + (ROW(K40)-ROW($C$4))*7))</f>
        <v/>
      </c>
      <c r="L40" t="str" cm="1">
        <f t="array" aca="1" ref="L40" ca="1">IF(INDIRECT("Sheet2!AB" &amp; 9 + (ROW(L40)-ROW($C$4))*7)=0, "", INDIRECT("Sheet2!AB" &amp; 9 + (ROW(L40)-ROW($C$4))*7))</f>
        <v/>
      </c>
      <c r="M40" t="str" cm="1">
        <f t="array" aca="1" ref="M40" ca="1">IF(INDIRECT("Sheet2!AC" &amp; 9 + (ROW(M40)-ROW($C$4))*7)=0, "", INDIRECT("Sheet2!AC" &amp; 9 + (ROW(M40)-ROW($C$4))*7))</f>
        <v/>
      </c>
      <c r="N40" t="str" cm="1">
        <f t="array" aca="1" ref="N40" ca="1">IF(INDIRECT("Sheet2!AD" &amp; 9 + (ROW(N40)-ROW($C$4))*7)=0, "", INDIRECT("Sheet2!AD" &amp; 9 + (ROW(N40)-ROW($C$4))*7))</f>
        <v/>
      </c>
      <c r="O40" t="str" cm="1">
        <f t="array" aca="1" ref="O40" ca="1">IF(INDIRECT("Sheet2!AE" &amp; 9 + (ROW(O40)-ROW($C$4))*7)=0, "", INDIRECT("Sheet2!AE" &amp; 9 + (ROW(O40)-ROW($C$4))*7))</f>
        <v/>
      </c>
    </row>
    <row r="41" spans="2:15" x14ac:dyDescent="0.25">
      <c r="C41" s="29" t="str" cm="1">
        <f t="array" aca="1" ref="C41" ca="1">IF(INDIRECT("Sheet2!S" &amp; 9 + (ROW(C41)-ROW($C$4))*7)=0, "", INDIRECT("Sheet2!S" &amp; 9 + (ROW(C41)-ROW($C$4))*7))</f>
        <v/>
      </c>
      <c r="D41" s="25" t="str" cm="1">
        <f t="array" aca="1" ref="D41" ca="1">IF(INDIRECT("Sheet2!T" &amp; 9 + (ROW(D41)-ROW($C$4))*7)=0, "", INDIRECT("Sheet2!T" &amp; 9 + (ROW(D41)-ROW($C$4))*7))</f>
        <v/>
      </c>
      <c r="E41" s="25" t="str" cm="1">
        <f t="array" aca="1" ref="E41" ca="1">IF(INDIRECT("Sheet2!U" &amp; 9 + (ROW(E41)-ROW($C$4))*7)=0, "", INDIRECT("Sheet2!U" &amp; 9 + (ROW(E41)-ROW($C$4))*7))</f>
        <v/>
      </c>
      <c r="F41" s="25" t="str" cm="1">
        <f t="array" aca="1" ref="F41" ca="1">IF(INDIRECT("Sheet2!V" &amp; 9 + (ROW(F41)-ROW($C$4))*7)=0, "", INDIRECT("Sheet2!V" &amp; 9 + (ROW(F41)-ROW($C$4))*7))</f>
        <v/>
      </c>
      <c r="G41" s="25" t="str" cm="1">
        <f t="array" aca="1" ref="G41" ca="1">IF(INDIRECT("Sheet2!W" &amp; 9 + (ROW(G41)-ROW($C$4))*7)=0, "", INDIRECT("Sheet2!W" &amp; 9 + (ROW(G41)-ROW($C$4))*7))</f>
        <v/>
      </c>
      <c r="H41" s="25" t="str" cm="1">
        <f t="array" aca="1" ref="H41" ca="1">IF(INDIRECT("Sheet2!X" &amp; 9 + (ROW(H41)-ROW($C$4))*7)=0, "", INDIRECT("Sheet2!X" &amp; 9 + (ROW(H41)-ROW($C$4))*7))</f>
        <v/>
      </c>
      <c r="I41" s="25" t="str" cm="1">
        <f t="array" aca="1" ref="I41" ca="1">IF(INDIRECT("Sheet2!Y" &amp; 9 + (ROW(I41)-ROW($C$4))*7)=0, "", INDIRECT("Sheet2!Y" &amp; 9 + (ROW(I41)-ROW($C$4))*7))</f>
        <v/>
      </c>
      <c r="J41" s="25" t="str" cm="1">
        <f t="array" aca="1" ref="J41" ca="1">IF(INDIRECT("Sheet2!Z" &amp; 9 + (ROW(J41)-ROW($C$4))*7)=0, "", INDIRECT("Sheet2!Z" &amp; 9 + (ROW(J41)-ROW($C$4))*7))</f>
        <v/>
      </c>
      <c r="K41" s="25" t="str" cm="1">
        <f t="array" aca="1" ref="K41" ca="1">IF(INDIRECT("Sheet2!AA" &amp; 9 + (ROW(K41)-ROW($C$4))*7)=0, "", INDIRECT("Sheet2!AA" &amp; 9 + (ROW(K41)-ROW($C$4))*7))</f>
        <v/>
      </c>
      <c r="L41" s="25" t="str" cm="1">
        <f t="array" aca="1" ref="L41" ca="1">IF(INDIRECT("Sheet2!AB" &amp; 9 + (ROW(L41)-ROW($C$4))*7)=0, "", INDIRECT("Sheet2!AB" &amp; 9 + (ROW(L41)-ROW($C$4))*7))</f>
        <v/>
      </c>
      <c r="M41" s="25" t="str" cm="1">
        <f t="array" aca="1" ref="M41" ca="1">IF(INDIRECT("Sheet2!AC" &amp; 9 + (ROW(M41)-ROW($C$4))*7)=0, "", INDIRECT("Sheet2!AC" &amp; 9 + (ROW(M41)-ROW($C$4))*7))</f>
        <v/>
      </c>
      <c r="N41" s="25" t="str" cm="1">
        <f t="array" aca="1" ref="N41" ca="1">IF(INDIRECT("Sheet2!AD" &amp; 9 + (ROW(N41)-ROW($C$4))*7)=0, "", INDIRECT("Sheet2!AD" &amp; 9 + (ROW(N41)-ROW($C$4))*7))</f>
        <v/>
      </c>
      <c r="O41" s="25" t="str" cm="1">
        <f t="array" aca="1" ref="O41" ca="1">IF(INDIRECT("Sheet2!AE" &amp; 9 + (ROW(O41)-ROW($C$4))*7)=0, "", INDIRECT("Sheet2!AE" &amp; 9 + (ROW(O41)-ROW($C$4))*7))</f>
        <v/>
      </c>
    </row>
    <row r="42" spans="2:15" x14ac:dyDescent="0.25">
      <c r="B42" t="s">
        <v>43</v>
      </c>
      <c r="C42">
        <f ca="1">SUM(C4:C41)</f>
        <v>0</v>
      </c>
      <c r="D42">
        <f t="shared" ref="D42:I42" ca="1" si="0">SUM(D4:D41)</f>
        <v>0</v>
      </c>
      <c r="E42">
        <f t="shared" ca="1" si="0"/>
        <v>0</v>
      </c>
      <c r="F42">
        <f t="shared" ca="1" si="0"/>
        <v>0</v>
      </c>
      <c r="G42">
        <f t="shared" ca="1" si="0"/>
        <v>0</v>
      </c>
      <c r="H42">
        <f t="shared" ca="1" si="0"/>
        <v>0</v>
      </c>
      <c r="I42">
        <f t="shared" ca="1" si="0"/>
        <v>0</v>
      </c>
      <c r="J42">
        <f ca="1">SUM(J4:J41)</f>
        <v>0</v>
      </c>
      <c r="K42">
        <f t="shared" ref="K42:O42" ca="1" si="1">SUM(K4:K41)</f>
        <v>0</v>
      </c>
      <c r="L42">
        <f t="shared" ca="1" si="1"/>
        <v>0</v>
      </c>
      <c r="M42">
        <f t="shared" ca="1" si="1"/>
        <v>0</v>
      </c>
      <c r="N42">
        <f t="shared" ca="1" si="1"/>
        <v>0</v>
      </c>
      <c r="O42">
        <f t="shared" ca="1" si="1"/>
        <v>0</v>
      </c>
    </row>
    <row r="49" spans="2:15" x14ac:dyDescent="0.25">
      <c r="B49" t="s">
        <v>97</v>
      </c>
    </row>
    <row r="50" spans="2:15" x14ac:dyDescent="0.25">
      <c r="C50" t="s">
        <v>0</v>
      </c>
      <c r="D50" t="s">
        <v>108</v>
      </c>
      <c r="E50" t="s">
        <v>3</v>
      </c>
      <c r="F50" t="s">
        <v>115</v>
      </c>
      <c r="G50" t="s">
        <v>53</v>
      </c>
      <c r="H50" t="s">
        <v>109</v>
      </c>
      <c r="I50" t="s">
        <v>2</v>
      </c>
      <c r="J50" t="s">
        <v>5</v>
      </c>
      <c r="K50" t="s">
        <v>54</v>
      </c>
      <c r="L50" t="s">
        <v>114</v>
      </c>
      <c r="M50" t="s">
        <v>112</v>
      </c>
      <c r="N50" t="s">
        <v>110</v>
      </c>
      <c r="O50" t="s">
        <v>116</v>
      </c>
    </row>
    <row r="51" spans="2:15" x14ac:dyDescent="0.25">
      <c r="C51" cm="1">
        <f t="array" aca="1" ref="C51" ca="1">INDIRECT("Sheet2!D" &amp; 10 + (ROW(C4)-ROW($C$4))*7)</f>
        <v>0</v>
      </c>
      <c r="D51" cm="1">
        <f t="array" aca="1" ref="D51" ca="1">INDIRECT("Sheet2!E" &amp; 10 + (ROW(D4)-ROW($C$4))*7)</f>
        <v>0</v>
      </c>
      <c r="E51" cm="1">
        <f t="array" aca="1" ref="E51" ca="1">INDIRECT("Sheet2!F" &amp; 10 + (ROW(E4)-ROW($C$4))*7)</f>
        <v>0</v>
      </c>
      <c r="F51" cm="1">
        <f t="array" aca="1" ref="F51" ca="1">INDIRECT("Sheet2!G" &amp; 10 + (ROW(F4)-ROW($C$4))*7)</f>
        <v>0</v>
      </c>
      <c r="G51" cm="1">
        <f t="array" aca="1" ref="G51" ca="1">INDIRECT("Sheet2!H" &amp; 10 + (ROW(G4)-ROW($C$4))*7)</f>
        <v>0</v>
      </c>
      <c r="H51" cm="1">
        <f t="array" aca="1" ref="H51" ca="1">INDIRECT("Sheet2!I" &amp; 10 + (ROW(H4)-ROW($C$4))*7)</f>
        <v>0</v>
      </c>
      <c r="I51" cm="1">
        <f t="array" aca="1" ref="I51" ca="1">INDIRECT("Sheet2!J" &amp; 10 + (ROW(I4)-ROW($C$4))*7)</f>
        <v>0</v>
      </c>
      <c r="J51" cm="1">
        <f t="array" aca="1" ref="J51" ca="1">INDIRECT("Sheet2!K" &amp; 10 + (ROW(J4)-ROW($C$4))*7)</f>
        <v>0</v>
      </c>
      <c r="K51" cm="1">
        <f t="array" aca="1" ref="K51" ca="1">INDIRECT("Sheet2!L" &amp; 10 + (ROW(K4)-ROW($C$4))*7)</f>
        <v>0</v>
      </c>
      <c r="L51" cm="1">
        <f t="array" aca="1" ref="L51" ca="1">INDIRECT("Sheet2!M" &amp; 10 + (ROW(L4)-ROW($C$4))*7)</f>
        <v>0</v>
      </c>
      <c r="M51" cm="1">
        <f t="array" aca="1" ref="M51" ca="1">INDIRECT("Sheet2!N" &amp; 10 + (ROW(M4)-ROW($C$4))*7)</f>
        <v>0</v>
      </c>
      <c r="N51" cm="1">
        <f t="array" aca="1" ref="N51" ca="1">INDIRECT("Sheet2!o" &amp; 10 + (ROW(N4)-ROW($C$4))*7)</f>
        <v>0</v>
      </c>
      <c r="O51" cm="1">
        <f t="array" aca="1" ref="O51" ca="1">INDIRECT("Sheet2!p" &amp; 10 + (ROW(O4)-ROW($C$4))*7)</f>
        <v>0</v>
      </c>
    </row>
    <row r="52" spans="2:15" x14ac:dyDescent="0.25">
      <c r="C52" cm="1">
        <f t="array" aca="1" ref="C52" ca="1">INDIRECT("Sheet2!D" &amp; 10 + (ROW(C5)-ROW($C$4))*7)</f>
        <v>0</v>
      </c>
      <c r="D52" cm="1">
        <f t="array" aca="1" ref="D52" ca="1">INDIRECT("Sheet2!E" &amp; 10 + (ROW(D5)-ROW($C$4))*7)</f>
        <v>0</v>
      </c>
      <c r="E52" cm="1">
        <f t="array" aca="1" ref="E52" ca="1">INDIRECT("Sheet2!F" &amp; 10 + (ROW(E5)-ROW($C$4))*7)</f>
        <v>0</v>
      </c>
      <c r="F52" cm="1">
        <f t="array" aca="1" ref="F52" ca="1">INDIRECT("Sheet2!G" &amp; 10 + (ROW(F5)-ROW($C$4))*7)</f>
        <v>0</v>
      </c>
      <c r="G52" cm="1">
        <f t="array" aca="1" ref="G52" ca="1">INDIRECT("Sheet2!H" &amp; 10 + (ROW(G5)-ROW($C$4))*7)</f>
        <v>0</v>
      </c>
      <c r="H52" cm="1">
        <f t="array" aca="1" ref="H52" ca="1">INDIRECT("Sheet2!I" &amp; 10 + (ROW(H5)-ROW($C$4))*7)</f>
        <v>0</v>
      </c>
      <c r="I52" cm="1">
        <f t="array" aca="1" ref="I52" ca="1">INDIRECT("Sheet2!J" &amp; 10 + (ROW(I5)-ROW($C$4))*7)</f>
        <v>0</v>
      </c>
      <c r="J52" cm="1">
        <f t="array" aca="1" ref="J52" ca="1">INDIRECT("Sheet2!K" &amp; 10 + (ROW(J5)-ROW($C$4))*7)</f>
        <v>0</v>
      </c>
      <c r="K52" cm="1">
        <f t="array" aca="1" ref="K52" ca="1">INDIRECT("Sheet2!L" &amp; 10 + (ROW(K5)-ROW($C$4))*7)</f>
        <v>0</v>
      </c>
      <c r="L52" cm="1">
        <f t="array" aca="1" ref="L52" ca="1">INDIRECT("Sheet2!M" &amp; 10 + (ROW(L5)-ROW($C$4))*7)</f>
        <v>0</v>
      </c>
      <c r="M52" cm="1">
        <f t="array" aca="1" ref="M52" ca="1">INDIRECT("Sheet2!N" &amp; 10 + (ROW(M5)-ROW($C$4))*7)</f>
        <v>0</v>
      </c>
      <c r="N52" cm="1">
        <f t="array" aca="1" ref="N52" ca="1">INDIRECT("Sheet2!o" &amp; 10 + (ROW(N5)-ROW($C$4))*7)</f>
        <v>0</v>
      </c>
      <c r="O52" cm="1">
        <f t="array" aca="1" ref="O52" ca="1">INDIRECT("Sheet2!p" &amp; 10 + (ROW(O5)-ROW($C$4))*7)</f>
        <v>0</v>
      </c>
    </row>
    <row r="53" spans="2:15" x14ac:dyDescent="0.25">
      <c r="C53" cm="1">
        <f t="array" aca="1" ref="C53" ca="1">INDIRECT("Sheet2!D" &amp; 10 + (ROW(C6)-ROW($C$4))*7)</f>
        <v>0</v>
      </c>
      <c r="D53" cm="1">
        <f t="array" aca="1" ref="D53" ca="1">INDIRECT("Sheet2!E" &amp; 10 + (ROW(D6)-ROW($C$4))*7)</f>
        <v>0</v>
      </c>
      <c r="E53" cm="1">
        <f t="array" aca="1" ref="E53" ca="1">INDIRECT("Sheet2!F" &amp; 10 + (ROW(E6)-ROW($C$4))*7)</f>
        <v>0</v>
      </c>
      <c r="F53" cm="1">
        <f t="array" aca="1" ref="F53" ca="1">INDIRECT("Sheet2!G" &amp; 10 + (ROW(F6)-ROW($C$4))*7)</f>
        <v>0</v>
      </c>
      <c r="G53" cm="1">
        <f t="array" aca="1" ref="G53" ca="1">INDIRECT("Sheet2!H" &amp; 10 + (ROW(G6)-ROW($C$4))*7)</f>
        <v>0</v>
      </c>
      <c r="H53" cm="1">
        <f t="array" aca="1" ref="H53" ca="1">INDIRECT("Sheet2!I" &amp; 10 + (ROW(H6)-ROW($C$4))*7)</f>
        <v>0</v>
      </c>
      <c r="I53" cm="1">
        <f t="array" aca="1" ref="I53" ca="1">INDIRECT("Sheet2!J" &amp; 10 + (ROW(I6)-ROW($C$4))*7)</f>
        <v>0</v>
      </c>
      <c r="J53" cm="1">
        <f t="array" aca="1" ref="J53" ca="1">INDIRECT("Sheet2!K" &amp; 10 + (ROW(J6)-ROW($C$4))*7)</f>
        <v>0</v>
      </c>
      <c r="K53" cm="1">
        <f t="array" aca="1" ref="K53" ca="1">INDIRECT("Sheet2!L" &amp; 10 + (ROW(K6)-ROW($C$4))*7)</f>
        <v>0</v>
      </c>
      <c r="L53" cm="1">
        <f t="array" aca="1" ref="L53" ca="1">INDIRECT("Sheet2!M" &amp; 10 + (ROW(L6)-ROW($C$4))*7)</f>
        <v>0</v>
      </c>
      <c r="M53" cm="1">
        <f t="array" aca="1" ref="M53" ca="1">INDIRECT("Sheet2!N" &amp; 10 + (ROW(M6)-ROW($C$4))*7)</f>
        <v>0</v>
      </c>
      <c r="N53" cm="1">
        <f t="array" aca="1" ref="N53" ca="1">INDIRECT("Sheet2!o" &amp; 10 + (ROW(N6)-ROW($C$4))*7)</f>
        <v>0</v>
      </c>
      <c r="O53" cm="1">
        <f t="array" aca="1" ref="O53" ca="1">INDIRECT("Sheet2!p" &amp; 10 + (ROW(O6)-ROW($C$4))*7)</f>
        <v>0</v>
      </c>
    </row>
    <row r="54" spans="2:15" x14ac:dyDescent="0.25">
      <c r="C54" cm="1">
        <f t="array" aca="1" ref="C54" ca="1">INDIRECT("Sheet2!D" &amp; 10 + (ROW(C7)-ROW($C$4))*7)</f>
        <v>0</v>
      </c>
      <c r="D54" cm="1">
        <f t="array" aca="1" ref="D54" ca="1">INDIRECT("Sheet2!E" &amp; 10 + (ROW(D7)-ROW($C$4))*7)</f>
        <v>0</v>
      </c>
      <c r="E54" cm="1">
        <f t="array" aca="1" ref="E54" ca="1">INDIRECT("Sheet2!F" &amp; 10 + (ROW(E7)-ROW($C$4))*7)</f>
        <v>0</v>
      </c>
      <c r="F54" cm="1">
        <f t="array" aca="1" ref="F54" ca="1">INDIRECT("Sheet2!G" &amp; 10 + (ROW(F7)-ROW($C$4))*7)</f>
        <v>0</v>
      </c>
      <c r="G54" cm="1">
        <f t="array" aca="1" ref="G54" ca="1">INDIRECT("Sheet2!H" &amp; 10 + (ROW(G7)-ROW($C$4))*7)</f>
        <v>0</v>
      </c>
      <c r="H54" cm="1">
        <f t="array" aca="1" ref="H54" ca="1">INDIRECT("Sheet2!I" &amp; 10 + (ROW(H7)-ROW($C$4))*7)</f>
        <v>0</v>
      </c>
      <c r="I54" cm="1">
        <f t="array" aca="1" ref="I54" ca="1">INDIRECT("Sheet2!J" &amp; 10 + (ROW(I7)-ROW($C$4))*7)</f>
        <v>0</v>
      </c>
      <c r="J54" cm="1">
        <f t="array" aca="1" ref="J54" ca="1">INDIRECT("Sheet2!K" &amp; 10 + (ROW(J7)-ROW($C$4))*7)</f>
        <v>0</v>
      </c>
      <c r="K54" cm="1">
        <f t="array" aca="1" ref="K54" ca="1">INDIRECT("Sheet2!L" &amp; 10 + (ROW(K7)-ROW($C$4))*7)</f>
        <v>0</v>
      </c>
      <c r="L54" cm="1">
        <f t="array" aca="1" ref="L54" ca="1">INDIRECT("Sheet2!M" &amp; 10 + (ROW(L7)-ROW($C$4))*7)</f>
        <v>0</v>
      </c>
      <c r="M54" cm="1">
        <f t="array" aca="1" ref="M54" ca="1">INDIRECT("Sheet2!N" &amp; 10 + (ROW(M7)-ROW($C$4))*7)</f>
        <v>0</v>
      </c>
      <c r="N54" cm="1">
        <f t="array" aca="1" ref="N54" ca="1">INDIRECT("Sheet2!o" &amp; 10 + (ROW(N7)-ROW($C$4))*7)</f>
        <v>0</v>
      </c>
      <c r="O54" cm="1">
        <f t="array" aca="1" ref="O54" ca="1">INDIRECT("Sheet2!p" &amp; 10 + (ROW(O7)-ROW($C$4))*7)</f>
        <v>0</v>
      </c>
    </row>
    <row r="55" spans="2:15" x14ac:dyDescent="0.25">
      <c r="C55" cm="1">
        <f t="array" aca="1" ref="C55" ca="1">INDIRECT("Sheet2!D" &amp; 10 + (ROW(C8)-ROW($C$4))*7)</f>
        <v>0</v>
      </c>
      <c r="D55" cm="1">
        <f t="array" aca="1" ref="D55" ca="1">INDIRECT("Sheet2!E" &amp; 10 + (ROW(D8)-ROW($C$4))*7)</f>
        <v>0</v>
      </c>
      <c r="E55" cm="1">
        <f t="array" aca="1" ref="E55" ca="1">INDIRECT("Sheet2!F" &amp; 10 + (ROW(E8)-ROW($C$4))*7)</f>
        <v>0</v>
      </c>
      <c r="F55" cm="1">
        <f t="array" aca="1" ref="F55" ca="1">INDIRECT("Sheet2!G" &amp; 10 + (ROW(F8)-ROW($C$4))*7)</f>
        <v>0</v>
      </c>
      <c r="G55" cm="1">
        <f t="array" aca="1" ref="G55" ca="1">INDIRECT("Sheet2!H" &amp; 10 + (ROW(G8)-ROW($C$4))*7)</f>
        <v>0</v>
      </c>
      <c r="H55" cm="1">
        <f t="array" aca="1" ref="H55" ca="1">INDIRECT("Sheet2!I" &amp; 10 + (ROW(H8)-ROW($C$4))*7)</f>
        <v>0</v>
      </c>
      <c r="I55" cm="1">
        <f t="array" aca="1" ref="I55" ca="1">INDIRECT("Sheet2!J" &amp; 10 + (ROW(I8)-ROW($C$4))*7)</f>
        <v>0</v>
      </c>
      <c r="J55" cm="1">
        <f t="array" aca="1" ref="J55" ca="1">INDIRECT("Sheet2!K" &amp; 10 + (ROW(J8)-ROW($C$4))*7)</f>
        <v>0</v>
      </c>
      <c r="K55" cm="1">
        <f t="array" aca="1" ref="K55" ca="1">INDIRECT("Sheet2!L" &amp; 10 + (ROW(K8)-ROW($C$4))*7)</f>
        <v>0</v>
      </c>
      <c r="L55" cm="1">
        <f t="array" aca="1" ref="L55" ca="1">INDIRECT("Sheet2!M" &amp; 10 + (ROW(L8)-ROW($C$4))*7)</f>
        <v>0</v>
      </c>
      <c r="M55" cm="1">
        <f t="array" aca="1" ref="M55" ca="1">INDIRECT("Sheet2!N" &amp; 10 + (ROW(M8)-ROW($C$4))*7)</f>
        <v>0</v>
      </c>
      <c r="N55" cm="1">
        <f t="array" aca="1" ref="N55" ca="1">INDIRECT("Sheet2!o" &amp; 10 + (ROW(N8)-ROW($C$4))*7)</f>
        <v>0</v>
      </c>
      <c r="O55" cm="1">
        <f t="array" aca="1" ref="O55" ca="1">INDIRECT("Sheet2!p" &amp; 10 + (ROW(O8)-ROW($C$4))*7)</f>
        <v>0</v>
      </c>
    </row>
    <row r="56" spans="2:15" x14ac:dyDescent="0.25">
      <c r="C56" cm="1">
        <f t="array" aca="1" ref="C56" ca="1">INDIRECT("Sheet2!D" &amp; 10 + (ROW(C9)-ROW($C$4))*7)</f>
        <v>0</v>
      </c>
      <c r="D56" cm="1">
        <f t="array" aca="1" ref="D56" ca="1">INDIRECT("Sheet2!E" &amp; 10 + (ROW(D9)-ROW($C$4))*7)</f>
        <v>0</v>
      </c>
      <c r="E56" cm="1">
        <f t="array" aca="1" ref="E56" ca="1">INDIRECT("Sheet2!F" &amp; 10 + (ROW(E9)-ROW($C$4))*7)</f>
        <v>0</v>
      </c>
      <c r="F56" cm="1">
        <f t="array" aca="1" ref="F56" ca="1">INDIRECT("Sheet2!G" &amp; 10 + (ROW(F9)-ROW($C$4))*7)</f>
        <v>0</v>
      </c>
      <c r="G56" cm="1">
        <f t="array" aca="1" ref="G56" ca="1">INDIRECT("Sheet2!H" &amp; 10 + (ROW(G9)-ROW($C$4))*7)</f>
        <v>0</v>
      </c>
      <c r="H56" cm="1">
        <f t="array" aca="1" ref="H56" ca="1">INDIRECT("Sheet2!I" &amp; 10 + (ROW(H9)-ROW($C$4))*7)</f>
        <v>0</v>
      </c>
      <c r="I56" cm="1">
        <f t="array" aca="1" ref="I56" ca="1">INDIRECT("Sheet2!J" &amp; 10 + (ROW(I9)-ROW($C$4))*7)</f>
        <v>0</v>
      </c>
      <c r="J56" cm="1">
        <f t="array" aca="1" ref="J56" ca="1">INDIRECT("Sheet2!K" &amp; 10 + (ROW(J9)-ROW($C$4))*7)</f>
        <v>0</v>
      </c>
      <c r="K56" cm="1">
        <f t="array" aca="1" ref="K56" ca="1">INDIRECT("Sheet2!L" &amp; 10 + (ROW(K9)-ROW($C$4))*7)</f>
        <v>0</v>
      </c>
      <c r="L56" cm="1">
        <f t="array" aca="1" ref="L56" ca="1">INDIRECT("Sheet2!M" &amp; 10 + (ROW(L9)-ROW($C$4))*7)</f>
        <v>0</v>
      </c>
      <c r="M56" cm="1">
        <f t="array" aca="1" ref="M56" ca="1">INDIRECT("Sheet2!N" &amp; 10 + (ROW(M9)-ROW($C$4))*7)</f>
        <v>0</v>
      </c>
      <c r="N56" cm="1">
        <f t="array" aca="1" ref="N56" ca="1">INDIRECT("Sheet2!o" &amp; 10 + (ROW(N9)-ROW($C$4))*7)</f>
        <v>0</v>
      </c>
      <c r="O56" cm="1">
        <f t="array" aca="1" ref="O56" ca="1">INDIRECT("Sheet2!p" &amp; 10 + (ROW(O9)-ROW($C$4))*7)</f>
        <v>0</v>
      </c>
    </row>
    <row r="57" spans="2:15" x14ac:dyDescent="0.25">
      <c r="C57" cm="1">
        <f t="array" aca="1" ref="C57" ca="1">INDIRECT("Sheet2!D" &amp; 10 + (ROW(C10)-ROW($C$4))*7)</f>
        <v>0</v>
      </c>
      <c r="D57" cm="1">
        <f t="array" aca="1" ref="D57" ca="1">INDIRECT("Sheet2!E" &amp; 10 + (ROW(D10)-ROW($C$4))*7)</f>
        <v>0</v>
      </c>
      <c r="E57" cm="1">
        <f t="array" aca="1" ref="E57" ca="1">INDIRECT("Sheet2!F" &amp; 10 + (ROW(E10)-ROW($C$4))*7)</f>
        <v>0</v>
      </c>
      <c r="F57" cm="1">
        <f t="array" aca="1" ref="F57" ca="1">INDIRECT("Sheet2!G" &amp; 10 + (ROW(F10)-ROW($C$4))*7)</f>
        <v>0</v>
      </c>
      <c r="G57" cm="1">
        <f t="array" aca="1" ref="G57" ca="1">INDIRECT("Sheet2!H" &amp; 10 + (ROW(G10)-ROW($C$4))*7)</f>
        <v>0</v>
      </c>
      <c r="H57" cm="1">
        <f t="array" aca="1" ref="H57" ca="1">INDIRECT("Sheet2!I" &amp; 10 + (ROW(H10)-ROW($C$4))*7)</f>
        <v>0</v>
      </c>
      <c r="I57" cm="1">
        <f t="array" aca="1" ref="I57" ca="1">INDIRECT("Sheet2!J" &amp; 10 + (ROW(I10)-ROW($C$4))*7)</f>
        <v>0</v>
      </c>
      <c r="J57" cm="1">
        <f t="array" aca="1" ref="J57" ca="1">INDIRECT("Sheet2!K" &amp; 10 + (ROW(J10)-ROW($C$4))*7)</f>
        <v>0</v>
      </c>
      <c r="K57" cm="1">
        <f t="array" aca="1" ref="K57" ca="1">INDIRECT("Sheet2!L" &amp; 10 + (ROW(K10)-ROW($C$4))*7)</f>
        <v>0</v>
      </c>
      <c r="L57" cm="1">
        <f t="array" aca="1" ref="L57" ca="1">INDIRECT("Sheet2!M" &amp; 10 + (ROW(L10)-ROW($C$4))*7)</f>
        <v>0</v>
      </c>
      <c r="M57" cm="1">
        <f t="array" aca="1" ref="M57" ca="1">INDIRECT("Sheet2!N" &amp; 10 + (ROW(M10)-ROW($C$4))*7)</f>
        <v>0</v>
      </c>
      <c r="N57" cm="1">
        <f t="array" aca="1" ref="N57" ca="1">INDIRECT("Sheet2!o" &amp; 10 + (ROW(N10)-ROW($C$4))*7)</f>
        <v>0</v>
      </c>
      <c r="O57" cm="1">
        <f t="array" aca="1" ref="O57" ca="1">INDIRECT("Sheet2!p" &amp; 10 + (ROW(O10)-ROW($C$4))*7)</f>
        <v>0</v>
      </c>
    </row>
    <row r="58" spans="2:15" x14ac:dyDescent="0.25">
      <c r="C58" cm="1">
        <f t="array" aca="1" ref="C58" ca="1">INDIRECT("Sheet2!D" &amp; 10 + (ROW(C11)-ROW($C$4))*7)</f>
        <v>0</v>
      </c>
      <c r="D58" cm="1">
        <f t="array" aca="1" ref="D58" ca="1">INDIRECT("Sheet2!E" &amp; 10 + (ROW(D11)-ROW($C$4))*7)</f>
        <v>0</v>
      </c>
      <c r="E58" cm="1">
        <f t="array" aca="1" ref="E58" ca="1">INDIRECT("Sheet2!F" &amp; 10 + (ROW(E11)-ROW($C$4))*7)</f>
        <v>0</v>
      </c>
      <c r="F58" cm="1">
        <f t="array" aca="1" ref="F58" ca="1">INDIRECT("Sheet2!G" &amp; 10 + (ROW(F11)-ROW($C$4))*7)</f>
        <v>0</v>
      </c>
      <c r="G58" cm="1">
        <f t="array" aca="1" ref="G58" ca="1">INDIRECT("Sheet2!H" &amp; 10 + (ROW(G11)-ROW($C$4))*7)</f>
        <v>0</v>
      </c>
      <c r="H58" cm="1">
        <f t="array" aca="1" ref="H58" ca="1">INDIRECT("Sheet2!I" &amp; 10 + (ROW(H11)-ROW($C$4))*7)</f>
        <v>0</v>
      </c>
      <c r="I58" cm="1">
        <f t="array" aca="1" ref="I58" ca="1">INDIRECT("Sheet2!J" &amp; 10 + (ROW(I11)-ROW($C$4))*7)</f>
        <v>0</v>
      </c>
      <c r="J58" cm="1">
        <f t="array" aca="1" ref="J58" ca="1">INDIRECT("Sheet2!K" &amp; 10 + (ROW(J11)-ROW($C$4))*7)</f>
        <v>0</v>
      </c>
      <c r="K58" cm="1">
        <f t="array" aca="1" ref="K58" ca="1">INDIRECT("Sheet2!L" &amp; 10 + (ROW(K11)-ROW($C$4))*7)</f>
        <v>0</v>
      </c>
      <c r="L58" cm="1">
        <f t="array" aca="1" ref="L58" ca="1">INDIRECT("Sheet2!M" &amp; 10 + (ROW(L11)-ROW($C$4))*7)</f>
        <v>0</v>
      </c>
      <c r="M58" cm="1">
        <f t="array" aca="1" ref="M58" ca="1">INDIRECT("Sheet2!N" &amp; 10 + (ROW(M11)-ROW($C$4))*7)</f>
        <v>0</v>
      </c>
      <c r="N58" cm="1">
        <f t="array" aca="1" ref="N58" ca="1">INDIRECT("Sheet2!o" &amp; 10 + (ROW(N11)-ROW($C$4))*7)</f>
        <v>0</v>
      </c>
      <c r="O58" cm="1">
        <f t="array" aca="1" ref="O58" ca="1">INDIRECT("Sheet2!p" &amp; 10 + (ROW(O11)-ROW($C$4))*7)</f>
        <v>0</v>
      </c>
    </row>
    <row r="59" spans="2:15" x14ac:dyDescent="0.25">
      <c r="C59" cm="1">
        <f t="array" aca="1" ref="C59" ca="1">INDIRECT("Sheet2!D" &amp; 10 + (ROW(C12)-ROW($C$4))*7)</f>
        <v>0</v>
      </c>
      <c r="D59" cm="1">
        <f t="array" aca="1" ref="D59" ca="1">INDIRECT("Sheet2!E" &amp; 10 + (ROW(D12)-ROW($C$4))*7)</f>
        <v>0</v>
      </c>
      <c r="E59" cm="1">
        <f t="array" aca="1" ref="E59" ca="1">INDIRECT("Sheet2!F" &amp; 10 + (ROW(E12)-ROW($C$4))*7)</f>
        <v>0</v>
      </c>
      <c r="F59" cm="1">
        <f t="array" aca="1" ref="F59" ca="1">INDIRECT("Sheet2!G" &amp; 10 + (ROW(F12)-ROW($C$4))*7)</f>
        <v>0</v>
      </c>
      <c r="G59" cm="1">
        <f t="array" aca="1" ref="G59" ca="1">INDIRECT("Sheet2!H" &amp; 10 + (ROW(G12)-ROW($C$4))*7)</f>
        <v>0</v>
      </c>
      <c r="H59" cm="1">
        <f t="array" aca="1" ref="H59" ca="1">INDIRECT("Sheet2!I" &amp; 10 + (ROW(H12)-ROW($C$4))*7)</f>
        <v>0</v>
      </c>
      <c r="I59" cm="1">
        <f t="array" aca="1" ref="I59" ca="1">INDIRECT("Sheet2!J" &amp; 10 + (ROW(I12)-ROW($C$4))*7)</f>
        <v>0</v>
      </c>
      <c r="J59" cm="1">
        <f t="array" aca="1" ref="J59" ca="1">INDIRECT("Sheet2!K" &amp; 10 + (ROW(J12)-ROW($C$4))*7)</f>
        <v>0</v>
      </c>
      <c r="K59" cm="1">
        <f t="array" aca="1" ref="K59" ca="1">INDIRECT("Sheet2!L" &amp; 10 + (ROW(K12)-ROW($C$4))*7)</f>
        <v>0</v>
      </c>
      <c r="L59" cm="1">
        <f t="array" aca="1" ref="L59" ca="1">INDIRECT("Sheet2!M" &amp; 10 + (ROW(L12)-ROW($C$4))*7)</f>
        <v>0</v>
      </c>
      <c r="M59" cm="1">
        <f t="array" aca="1" ref="M59" ca="1">INDIRECT("Sheet2!N" &amp; 10 + (ROW(M12)-ROW($C$4))*7)</f>
        <v>0</v>
      </c>
      <c r="N59" cm="1">
        <f t="array" aca="1" ref="N59" ca="1">INDIRECT("Sheet2!o" &amp; 10 + (ROW(N12)-ROW($C$4))*7)</f>
        <v>0</v>
      </c>
      <c r="O59" cm="1">
        <f t="array" aca="1" ref="O59" ca="1">INDIRECT("Sheet2!p" &amp; 10 + (ROW(O12)-ROW($C$4))*7)</f>
        <v>0</v>
      </c>
    </row>
    <row r="60" spans="2:15" x14ac:dyDescent="0.25">
      <c r="C60" cm="1">
        <f t="array" aca="1" ref="C60" ca="1">INDIRECT("Sheet2!D" &amp; 10 + (ROW(C13)-ROW($C$4))*7)</f>
        <v>0</v>
      </c>
      <c r="D60" cm="1">
        <f t="array" aca="1" ref="D60" ca="1">INDIRECT("Sheet2!E" &amp; 10 + (ROW(D13)-ROW($C$4))*7)</f>
        <v>0</v>
      </c>
      <c r="E60" cm="1">
        <f t="array" aca="1" ref="E60" ca="1">INDIRECT("Sheet2!F" &amp; 10 + (ROW(E13)-ROW($C$4))*7)</f>
        <v>0</v>
      </c>
      <c r="F60" cm="1">
        <f t="array" aca="1" ref="F60" ca="1">INDIRECT("Sheet2!G" &amp; 10 + (ROW(F13)-ROW($C$4))*7)</f>
        <v>0</v>
      </c>
      <c r="G60" cm="1">
        <f t="array" aca="1" ref="G60" ca="1">INDIRECT("Sheet2!H" &amp; 10 + (ROW(G13)-ROW($C$4))*7)</f>
        <v>0</v>
      </c>
      <c r="H60" cm="1">
        <f t="array" aca="1" ref="H60" ca="1">INDIRECT("Sheet2!I" &amp; 10 + (ROW(H13)-ROW($C$4))*7)</f>
        <v>0</v>
      </c>
      <c r="I60" cm="1">
        <f t="array" aca="1" ref="I60" ca="1">INDIRECT("Sheet2!J" &amp; 10 + (ROW(I13)-ROW($C$4))*7)</f>
        <v>0</v>
      </c>
      <c r="J60" cm="1">
        <f t="array" aca="1" ref="J60" ca="1">INDIRECT("Sheet2!K" &amp; 10 + (ROW(J13)-ROW($C$4))*7)</f>
        <v>0</v>
      </c>
      <c r="K60" cm="1">
        <f t="array" aca="1" ref="K60" ca="1">INDIRECT("Sheet2!L" &amp; 10 + (ROW(K13)-ROW($C$4))*7)</f>
        <v>0</v>
      </c>
      <c r="L60" cm="1">
        <f t="array" aca="1" ref="L60" ca="1">INDIRECT("Sheet2!M" &amp; 10 + (ROW(L13)-ROW($C$4))*7)</f>
        <v>0</v>
      </c>
      <c r="M60" cm="1">
        <f t="array" aca="1" ref="M60" ca="1">INDIRECT("Sheet2!N" &amp; 10 + (ROW(M13)-ROW($C$4))*7)</f>
        <v>0</v>
      </c>
      <c r="N60" cm="1">
        <f t="array" aca="1" ref="N60" ca="1">INDIRECT("Sheet2!o" &amp; 10 + (ROW(N13)-ROW($C$4))*7)</f>
        <v>0</v>
      </c>
      <c r="O60" cm="1">
        <f t="array" aca="1" ref="O60" ca="1">INDIRECT("Sheet2!p" &amp; 10 + (ROW(O13)-ROW($C$4))*7)</f>
        <v>0</v>
      </c>
    </row>
    <row r="61" spans="2:15" x14ac:dyDescent="0.25">
      <c r="C61" cm="1">
        <f t="array" aca="1" ref="C61" ca="1">INDIRECT("Sheet2!D" &amp; 10 + (ROW(C14)-ROW($C$4))*7)</f>
        <v>0</v>
      </c>
      <c r="D61" cm="1">
        <f t="array" aca="1" ref="D61" ca="1">INDIRECT("Sheet2!E" &amp; 10 + (ROW(D14)-ROW($C$4))*7)</f>
        <v>0</v>
      </c>
      <c r="E61" cm="1">
        <f t="array" aca="1" ref="E61" ca="1">INDIRECT("Sheet2!F" &amp; 10 + (ROW(E14)-ROW($C$4))*7)</f>
        <v>0</v>
      </c>
      <c r="F61" cm="1">
        <f t="array" aca="1" ref="F61" ca="1">INDIRECT("Sheet2!G" &amp; 10 + (ROW(F14)-ROW($C$4))*7)</f>
        <v>0</v>
      </c>
      <c r="G61" cm="1">
        <f t="array" aca="1" ref="G61" ca="1">INDIRECT("Sheet2!H" &amp; 10 + (ROW(G14)-ROW($C$4))*7)</f>
        <v>0</v>
      </c>
      <c r="H61" cm="1">
        <f t="array" aca="1" ref="H61" ca="1">INDIRECT("Sheet2!I" &amp; 10 + (ROW(H14)-ROW($C$4))*7)</f>
        <v>0</v>
      </c>
      <c r="I61" cm="1">
        <f t="array" aca="1" ref="I61" ca="1">INDIRECT("Sheet2!J" &amp; 10 + (ROW(I14)-ROW($C$4))*7)</f>
        <v>0</v>
      </c>
      <c r="J61" cm="1">
        <f t="array" aca="1" ref="J61" ca="1">INDIRECT("Sheet2!K" &amp; 10 + (ROW(J14)-ROW($C$4))*7)</f>
        <v>0</v>
      </c>
      <c r="K61" cm="1">
        <f t="array" aca="1" ref="K61" ca="1">INDIRECT("Sheet2!L" &amp; 10 + (ROW(K14)-ROW($C$4))*7)</f>
        <v>0</v>
      </c>
      <c r="L61" cm="1">
        <f t="array" aca="1" ref="L61" ca="1">INDIRECT("Sheet2!M" &amp; 10 + (ROW(L14)-ROW($C$4))*7)</f>
        <v>0</v>
      </c>
      <c r="M61" cm="1">
        <f t="array" aca="1" ref="M61" ca="1">INDIRECT("Sheet2!N" &amp; 10 + (ROW(M14)-ROW($C$4))*7)</f>
        <v>0</v>
      </c>
      <c r="N61" cm="1">
        <f t="array" aca="1" ref="N61" ca="1">INDIRECT("Sheet2!o" &amp; 10 + (ROW(N14)-ROW($C$4))*7)</f>
        <v>0</v>
      </c>
      <c r="O61" cm="1">
        <f t="array" aca="1" ref="O61" ca="1">INDIRECT("Sheet2!p" &amp; 10 + (ROW(O14)-ROW($C$4))*7)</f>
        <v>0</v>
      </c>
    </row>
    <row r="62" spans="2:15" x14ac:dyDescent="0.25">
      <c r="C62" cm="1">
        <f t="array" aca="1" ref="C62" ca="1">INDIRECT("Sheet2!D" &amp; 10 + (ROW(C15)-ROW($C$4))*7)</f>
        <v>0</v>
      </c>
      <c r="D62" cm="1">
        <f t="array" aca="1" ref="D62" ca="1">INDIRECT("Sheet2!E" &amp; 10 + (ROW(D15)-ROW($C$4))*7)</f>
        <v>0</v>
      </c>
      <c r="E62" cm="1">
        <f t="array" aca="1" ref="E62" ca="1">INDIRECT("Sheet2!F" &amp; 10 + (ROW(E15)-ROW($C$4))*7)</f>
        <v>0</v>
      </c>
      <c r="F62" cm="1">
        <f t="array" aca="1" ref="F62" ca="1">INDIRECT("Sheet2!G" &amp; 10 + (ROW(F15)-ROW($C$4))*7)</f>
        <v>0</v>
      </c>
      <c r="G62" cm="1">
        <f t="array" aca="1" ref="G62" ca="1">INDIRECT("Sheet2!H" &amp; 10 + (ROW(G15)-ROW($C$4))*7)</f>
        <v>0</v>
      </c>
      <c r="H62" cm="1">
        <f t="array" aca="1" ref="H62" ca="1">INDIRECT("Sheet2!I" &amp; 10 + (ROW(H15)-ROW($C$4))*7)</f>
        <v>0</v>
      </c>
      <c r="I62" cm="1">
        <f t="array" aca="1" ref="I62" ca="1">INDIRECT("Sheet2!J" &amp; 10 + (ROW(I15)-ROW($C$4))*7)</f>
        <v>0</v>
      </c>
      <c r="J62" cm="1">
        <f t="array" aca="1" ref="J62" ca="1">INDIRECT("Sheet2!K" &amp; 10 + (ROW(J15)-ROW($C$4))*7)</f>
        <v>0</v>
      </c>
      <c r="K62" cm="1">
        <f t="array" aca="1" ref="K62" ca="1">INDIRECT("Sheet2!L" &amp; 10 + (ROW(K15)-ROW($C$4))*7)</f>
        <v>0</v>
      </c>
      <c r="L62" cm="1">
        <f t="array" aca="1" ref="L62" ca="1">INDIRECT("Sheet2!M" &amp; 10 + (ROW(L15)-ROW($C$4))*7)</f>
        <v>0</v>
      </c>
      <c r="M62" cm="1">
        <f t="array" aca="1" ref="M62" ca="1">INDIRECT("Sheet2!N" &amp; 10 + (ROW(M15)-ROW($C$4))*7)</f>
        <v>0</v>
      </c>
      <c r="N62" cm="1">
        <f t="array" aca="1" ref="N62" ca="1">INDIRECT("Sheet2!o" &amp; 10 + (ROW(N15)-ROW($C$4))*7)</f>
        <v>0</v>
      </c>
      <c r="O62" cm="1">
        <f t="array" aca="1" ref="O62" ca="1">INDIRECT("Sheet2!p" &amp; 10 + (ROW(O15)-ROW($C$4))*7)</f>
        <v>0</v>
      </c>
    </row>
    <row r="63" spans="2:15" x14ac:dyDescent="0.25">
      <c r="C63" cm="1">
        <f t="array" aca="1" ref="C63" ca="1">INDIRECT("Sheet2!D" &amp; 10 + (ROW(C16)-ROW($C$4))*7)</f>
        <v>0</v>
      </c>
      <c r="D63" cm="1">
        <f t="array" aca="1" ref="D63" ca="1">INDIRECT("Sheet2!E" &amp; 10 + (ROW(D16)-ROW($C$4))*7)</f>
        <v>0</v>
      </c>
      <c r="E63" cm="1">
        <f t="array" aca="1" ref="E63" ca="1">INDIRECT("Sheet2!F" &amp; 10 + (ROW(E16)-ROW($C$4))*7)</f>
        <v>0</v>
      </c>
      <c r="F63" cm="1">
        <f t="array" aca="1" ref="F63" ca="1">INDIRECT("Sheet2!G" &amp; 10 + (ROW(F16)-ROW($C$4))*7)</f>
        <v>0</v>
      </c>
      <c r="G63" cm="1">
        <f t="array" aca="1" ref="G63" ca="1">INDIRECT("Sheet2!H" &amp; 10 + (ROW(G16)-ROW($C$4))*7)</f>
        <v>0</v>
      </c>
      <c r="H63" cm="1">
        <f t="array" aca="1" ref="H63" ca="1">INDIRECT("Sheet2!I" &amp; 10 + (ROW(H16)-ROW($C$4))*7)</f>
        <v>0</v>
      </c>
      <c r="I63" cm="1">
        <f t="array" aca="1" ref="I63" ca="1">INDIRECT("Sheet2!J" &amp; 10 + (ROW(I16)-ROW($C$4))*7)</f>
        <v>0</v>
      </c>
      <c r="J63" cm="1">
        <f t="array" aca="1" ref="J63" ca="1">INDIRECT("Sheet2!K" &amp; 10 + (ROW(J16)-ROW($C$4))*7)</f>
        <v>0</v>
      </c>
      <c r="K63" cm="1">
        <f t="array" aca="1" ref="K63" ca="1">INDIRECT("Sheet2!L" &amp; 10 + (ROW(K16)-ROW($C$4))*7)</f>
        <v>0</v>
      </c>
      <c r="L63" cm="1">
        <f t="array" aca="1" ref="L63" ca="1">INDIRECT("Sheet2!M" &amp; 10 + (ROW(L16)-ROW($C$4))*7)</f>
        <v>0</v>
      </c>
      <c r="M63" cm="1">
        <f t="array" aca="1" ref="M63" ca="1">INDIRECT("Sheet2!N" &amp; 10 + (ROW(M16)-ROW($C$4))*7)</f>
        <v>0</v>
      </c>
      <c r="N63" cm="1">
        <f t="array" aca="1" ref="N63" ca="1">INDIRECT("Sheet2!o" &amp; 10 + (ROW(N16)-ROW($C$4))*7)</f>
        <v>0</v>
      </c>
      <c r="O63" cm="1">
        <f t="array" aca="1" ref="O63" ca="1">INDIRECT("Sheet2!p" &amp; 10 + (ROW(O16)-ROW($C$4))*7)</f>
        <v>0</v>
      </c>
    </row>
    <row r="64" spans="2:15" x14ac:dyDescent="0.25">
      <c r="C64" cm="1">
        <f t="array" aca="1" ref="C64" ca="1">INDIRECT("Sheet2!D" &amp; 10 + (ROW(C17)-ROW($C$4))*7)</f>
        <v>0</v>
      </c>
      <c r="D64" cm="1">
        <f t="array" aca="1" ref="D64" ca="1">INDIRECT("Sheet2!E" &amp; 10 + (ROW(D17)-ROW($C$4))*7)</f>
        <v>0</v>
      </c>
      <c r="E64" cm="1">
        <f t="array" aca="1" ref="E64" ca="1">INDIRECT("Sheet2!F" &amp; 10 + (ROW(E17)-ROW($C$4))*7)</f>
        <v>0</v>
      </c>
      <c r="F64" cm="1">
        <f t="array" aca="1" ref="F64" ca="1">INDIRECT("Sheet2!G" &amp; 10 + (ROW(F17)-ROW($C$4))*7)</f>
        <v>0</v>
      </c>
      <c r="G64" cm="1">
        <f t="array" aca="1" ref="G64" ca="1">INDIRECT("Sheet2!H" &amp; 10 + (ROW(G17)-ROW($C$4))*7)</f>
        <v>0</v>
      </c>
      <c r="H64" cm="1">
        <f t="array" aca="1" ref="H64" ca="1">INDIRECT("Sheet2!I" &amp; 10 + (ROW(H17)-ROW($C$4))*7)</f>
        <v>0</v>
      </c>
      <c r="I64" cm="1">
        <f t="array" aca="1" ref="I64" ca="1">INDIRECT("Sheet2!J" &amp; 10 + (ROW(I17)-ROW($C$4))*7)</f>
        <v>0</v>
      </c>
      <c r="J64" cm="1">
        <f t="array" aca="1" ref="J64" ca="1">INDIRECT("Sheet2!K" &amp; 10 + (ROW(J17)-ROW($C$4))*7)</f>
        <v>0</v>
      </c>
      <c r="K64" cm="1">
        <f t="array" aca="1" ref="K64" ca="1">INDIRECT("Sheet2!L" &amp; 10 + (ROW(K17)-ROW($C$4))*7)</f>
        <v>0</v>
      </c>
      <c r="L64" cm="1">
        <f t="array" aca="1" ref="L64" ca="1">INDIRECT("Sheet2!M" &amp; 10 + (ROW(L17)-ROW($C$4))*7)</f>
        <v>0</v>
      </c>
      <c r="M64" cm="1">
        <f t="array" aca="1" ref="M64" ca="1">INDIRECT("Sheet2!N" &amp; 10 + (ROW(M17)-ROW($C$4))*7)</f>
        <v>0</v>
      </c>
      <c r="N64" cm="1">
        <f t="array" aca="1" ref="N64" ca="1">INDIRECT("Sheet2!o" &amp; 10 + (ROW(N17)-ROW($C$4))*7)</f>
        <v>0</v>
      </c>
      <c r="O64" cm="1">
        <f t="array" aca="1" ref="O64" ca="1">INDIRECT("Sheet2!p" &amp; 10 + (ROW(O17)-ROW($C$4))*7)</f>
        <v>0</v>
      </c>
    </row>
    <row r="65" spans="3:15" x14ac:dyDescent="0.25">
      <c r="C65" cm="1">
        <f t="array" aca="1" ref="C65" ca="1">INDIRECT("Sheet2!D" &amp; 10 + (ROW(C18)-ROW($C$4))*7)</f>
        <v>0</v>
      </c>
      <c r="D65" cm="1">
        <f t="array" aca="1" ref="D65" ca="1">INDIRECT("Sheet2!E" &amp; 10 + (ROW(D18)-ROW($C$4))*7)</f>
        <v>0</v>
      </c>
      <c r="E65" cm="1">
        <f t="array" aca="1" ref="E65" ca="1">INDIRECT("Sheet2!F" &amp; 10 + (ROW(E18)-ROW($C$4))*7)</f>
        <v>0</v>
      </c>
      <c r="F65" cm="1">
        <f t="array" aca="1" ref="F65" ca="1">INDIRECT("Sheet2!G" &amp; 10 + (ROW(F18)-ROW($C$4))*7)</f>
        <v>0</v>
      </c>
      <c r="G65" cm="1">
        <f t="array" aca="1" ref="G65" ca="1">INDIRECT("Sheet2!H" &amp; 10 + (ROW(G18)-ROW($C$4))*7)</f>
        <v>0</v>
      </c>
      <c r="H65" cm="1">
        <f t="array" aca="1" ref="H65" ca="1">INDIRECT("Sheet2!I" &amp; 10 + (ROW(H18)-ROW($C$4))*7)</f>
        <v>0</v>
      </c>
      <c r="I65" cm="1">
        <f t="array" aca="1" ref="I65" ca="1">INDIRECT("Sheet2!J" &amp; 10 + (ROW(I18)-ROW($C$4))*7)</f>
        <v>0</v>
      </c>
      <c r="J65" cm="1">
        <f t="array" aca="1" ref="J65" ca="1">INDIRECT("Sheet2!K" &amp; 10 + (ROW(J18)-ROW($C$4))*7)</f>
        <v>0</v>
      </c>
      <c r="K65" cm="1">
        <f t="array" aca="1" ref="K65" ca="1">INDIRECT("Sheet2!L" &amp; 10 + (ROW(K18)-ROW($C$4))*7)</f>
        <v>0</v>
      </c>
      <c r="L65" cm="1">
        <f t="array" aca="1" ref="L65" ca="1">INDIRECT("Sheet2!M" &amp; 10 + (ROW(L18)-ROW($C$4))*7)</f>
        <v>0</v>
      </c>
      <c r="M65" cm="1">
        <f t="array" aca="1" ref="M65" ca="1">INDIRECT("Sheet2!N" &amp; 10 + (ROW(M18)-ROW($C$4))*7)</f>
        <v>0</v>
      </c>
      <c r="N65" cm="1">
        <f t="array" aca="1" ref="N65" ca="1">INDIRECT("Sheet2!o" &amp; 10 + (ROW(N18)-ROW($C$4))*7)</f>
        <v>0</v>
      </c>
      <c r="O65" cm="1">
        <f t="array" aca="1" ref="O65" ca="1">INDIRECT("Sheet2!p" &amp; 10 + (ROW(O18)-ROW($C$4))*7)</f>
        <v>0</v>
      </c>
    </row>
    <row r="66" spans="3:15" x14ac:dyDescent="0.25">
      <c r="C66" cm="1">
        <f t="array" aca="1" ref="C66" ca="1">INDIRECT("Sheet2!D" &amp; 10 + (ROW(C19)-ROW($C$4))*7)</f>
        <v>0</v>
      </c>
      <c r="D66" cm="1">
        <f t="array" aca="1" ref="D66" ca="1">INDIRECT("Sheet2!E" &amp; 10 + (ROW(D19)-ROW($C$4))*7)</f>
        <v>0</v>
      </c>
      <c r="E66" cm="1">
        <f t="array" aca="1" ref="E66" ca="1">INDIRECT("Sheet2!F" &amp; 10 + (ROW(E19)-ROW($C$4))*7)</f>
        <v>0</v>
      </c>
      <c r="F66" cm="1">
        <f t="array" aca="1" ref="F66" ca="1">INDIRECT("Sheet2!G" &amp; 10 + (ROW(F19)-ROW($C$4))*7)</f>
        <v>0</v>
      </c>
      <c r="G66" cm="1">
        <f t="array" aca="1" ref="G66" ca="1">INDIRECT("Sheet2!H" &amp; 10 + (ROW(G19)-ROW($C$4))*7)</f>
        <v>0</v>
      </c>
      <c r="H66" cm="1">
        <f t="array" aca="1" ref="H66" ca="1">INDIRECT("Sheet2!I" &amp; 10 + (ROW(H19)-ROW($C$4))*7)</f>
        <v>0</v>
      </c>
      <c r="I66" cm="1">
        <f t="array" aca="1" ref="I66" ca="1">INDIRECT("Sheet2!J" &amp; 10 + (ROW(I19)-ROW($C$4))*7)</f>
        <v>0</v>
      </c>
      <c r="J66" cm="1">
        <f t="array" aca="1" ref="J66" ca="1">INDIRECT("Sheet2!K" &amp; 10 + (ROW(J19)-ROW($C$4))*7)</f>
        <v>0</v>
      </c>
      <c r="K66" cm="1">
        <f t="array" aca="1" ref="K66" ca="1">INDIRECT("Sheet2!L" &amp; 10 + (ROW(K19)-ROW($C$4))*7)</f>
        <v>0</v>
      </c>
      <c r="L66" cm="1">
        <f t="array" aca="1" ref="L66" ca="1">INDIRECT("Sheet2!M" &amp; 10 + (ROW(L19)-ROW($C$4))*7)</f>
        <v>0</v>
      </c>
      <c r="M66" cm="1">
        <f t="array" aca="1" ref="M66" ca="1">INDIRECT("Sheet2!N" &amp; 10 + (ROW(M19)-ROW($C$4))*7)</f>
        <v>0</v>
      </c>
      <c r="N66" cm="1">
        <f t="array" aca="1" ref="N66" ca="1">INDIRECT("Sheet2!o" &amp; 10 + (ROW(N19)-ROW($C$4))*7)</f>
        <v>0</v>
      </c>
      <c r="O66" cm="1">
        <f t="array" aca="1" ref="O66" ca="1">INDIRECT("Sheet2!p" &amp; 10 + (ROW(O19)-ROW($C$4))*7)</f>
        <v>0</v>
      </c>
    </row>
    <row r="67" spans="3:15" x14ac:dyDescent="0.25">
      <c r="C67" cm="1">
        <f t="array" aca="1" ref="C67" ca="1">INDIRECT("Sheet2!D" &amp; 10 + (ROW(C20)-ROW($C$4))*7)</f>
        <v>0</v>
      </c>
      <c r="D67" cm="1">
        <f t="array" aca="1" ref="D67" ca="1">INDIRECT("Sheet2!E" &amp; 10 + (ROW(D20)-ROW($C$4))*7)</f>
        <v>0</v>
      </c>
      <c r="E67" cm="1">
        <f t="array" aca="1" ref="E67" ca="1">INDIRECT("Sheet2!F" &amp; 10 + (ROW(E20)-ROW($C$4))*7)</f>
        <v>0</v>
      </c>
      <c r="F67" cm="1">
        <f t="array" aca="1" ref="F67" ca="1">INDIRECT("Sheet2!G" &amp; 10 + (ROW(F20)-ROW($C$4))*7)</f>
        <v>0</v>
      </c>
      <c r="G67" cm="1">
        <f t="array" aca="1" ref="G67" ca="1">INDIRECT("Sheet2!H" &amp; 10 + (ROW(G20)-ROW($C$4))*7)</f>
        <v>0</v>
      </c>
      <c r="H67" cm="1">
        <f t="array" aca="1" ref="H67" ca="1">INDIRECT("Sheet2!I" &amp; 10 + (ROW(H20)-ROW($C$4))*7)</f>
        <v>0</v>
      </c>
      <c r="I67" cm="1">
        <f t="array" aca="1" ref="I67" ca="1">INDIRECT("Sheet2!J" &amp; 10 + (ROW(I20)-ROW($C$4))*7)</f>
        <v>0</v>
      </c>
      <c r="J67" cm="1">
        <f t="array" aca="1" ref="J67" ca="1">INDIRECT("Sheet2!K" &amp; 10 + (ROW(J20)-ROW($C$4))*7)</f>
        <v>0</v>
      </c>
      <c r="K67" cm="1">
        <f t="array" aca="1" ref="K67" ca="1">INDIRECT("Sheet2!L" &amp; 10 + (ROW(K20)-ROW($C$4))*7)</f>
        <v>0</v>
      </c>
      <c r="L67" cm="1">
        <f t="array" aca="1" ref="L67" ca="1">INDIRECT("Sheet2!M" &amp; 10 + (ROW(L20)-ROW($C$4))*7)</f>
        <v>0</v>
      </c>
      <c r="M67" cm="1">
        <f t="array" aca="1" ref="M67" ca="1">INDIRECT("Sheet2!N" &amp; 10 + (ROW(M20)-ROW($C$4))*7)</f>
        <v>0</v>
      </c>
      <c r="N67" cm="1">
        <f t="array" aca="1" ref="N67" ca="1">INDIRECT("Sheet2!o" &amp; 10 + (ROW(N20)-ROW($C$4))*7)</f>
        <v>0</v>
      </c>
      <c r="O67" cm="1">
        <f t="array" aca="1" ref="O67" ca="1">INDIRECT("Sheet2!p" &amp; 10 + (ROW(O20)-ROW($C$4))*7)</f>
        <v>0</v>
      </c>
    </row>
    <row r="68" spans="3:15" x14ac:dyDescent="0.25">
      <c r="C68" cm="1">
        <f t="array" aca="1" ref="C68" ca="1">INDIRECT("Sheet2!D" &amp; 10 + (ROW(C21)-ROW($C$4))*7)</f>
        <v>0</v>
      </c>
      <c r="D68" cm="1">
        <f t="array" aca="1" ref="D68" ca="1">INDIRECT("Sheet2!E" &amp; 10 + (ROW(D21)-ROW($C$4))*7)</f>
        <v>0</v>
      </c>
      <c r="E68" cm="1">
        <f t="array" aca="1" ref="E68" ca="1">INDIRECT("Sheet2!F" &amp; 10 + (ROW(E21)-ROW($C$4))*7)</f>
        <v>0</v>
      </c>
      <c r="F68" cm="1">
        <f t="array" aca="1" ref="F68" ca="1">INDIRECT("Sheet2!G" &amp; 10 + (ROW(F21)-ROW($C$4))*7)</f>
        <v>0</v>
      </c>
      <c r="G68" cm="1">
        <f t="array" aca="1" ref="G68" ca="1">INDIRECT("Sheet2!H" &amp; 10 + (ROW(G21)-ROW($C$4))*7)</f>
        <v>0</v>
      </c>
      <c r="H68" cm="1">
        <f t="array" aca="1" ref="H68" ca="1">INDIRECT("Sheet2!I" &amp; 10 + (ROW(H21)-ROW($C$4))*7)</f>
        <v>0</v>
      </c>
      <c r="I68" cm="1">
        <f t="array" aca="1" ref="I68" ca="1">INDIRECT("Sheet2!J" &amp; 10 + (ROW(I21)-ROW($C$4))*7)</f>
        <v>0</v>
      </c>
      <c r="J68" cm="1">
        <f t="array" aca="1" ref="J68" ca="1">INDIRECT("Sheet2!K" &amp; 10 + (ROW(J21)-ROW($C$4))*7)</f>
        <v>0</v>
      </c>
      <c r="K68" cm="1">
        <f t="array" aca="1" ref="K68" ca="1">INDIRECT("Sheet2!L" &amp; 10 + (ROW(K21)-ROW($C$4))*7)</f>
        <v>0</v>
      </c>
      <c r="L68" cm="1">
        <f t="array" aca="1" ref="L68" ca="1">INDIRECT("Sheet2!M" &amp; 10 + (ROW(L21)-ROW($C$4))*7)</f>
        <v>0</v>
      </c>
      <c r="M68" cm="1">
        <f t="array" aca="1" ref="M68" ca="1">INDIRECT("Sheet2!N" &amp; 10 + (ROW(M21)-ROW($C$4))*7)</f>
        <v>0</v>
      </c>
      <c r="N68" cm="1">
        <f t="array" aca="1" ref="N68" ca="1">INDIRECT("Sheet2!o" &amp; 10 + (ROW(N21)-ROW($C$4))*7)</f>
        <v>0</v>
      </c>
      <c r="O68" cm="1">
        <f t="array" aca="1" ref="O68" ca="1">INDIRECT("Sheet2!p" &amp; 10 + (ROW(O21)-ROW($C$4))*7)</f>
        <v>0</v>
      </c>
    </row>
    <row r="69" spans="3:15" x14ac:dyDescent="0.25">
      <c r="C69" cm="1">
        <f t="array" aca="1" ref="C69" ca="1">INDIRECT("Sheet2!D" &amp; 10 + (ROW(C22)-ROW($C$4))*7)</f>
        <v>0</v>
      </c>
      <c r="D69" cm="1">
        <f t="array" aca="1" ref="D69" ca="1">INDIRECT("Sheet2!E" &amp; 10 + (ROW(D22)-ROW($C$4))*7)</f>
        <v>0</v>
      </c>
      <c r="E69" cm="1">
        <f t="array" aca="1" ref="E69" ca="1">INDIRECT("Sheet2!F" &amp; 10 + (ROW(E22)-ROW($C$4))*7)</f>
        <v>0</v>
      </c>
      <c r="F69" cm="1">
        <f t="array" aca="1" ref="F69" ca="1">INDIRECT("Sheet2!G" &amp; 10 + (ROW(F22)-ROW($C$4))*7)</f>
        <v>0</v>
      </c>
      <c r="G69" cm="1">
        <f t="array" aca="1" ref="G69" ca="1">INDIRECT("Sheet2!H" &amp; 10 + (ROW(G22)-ROW($C$4))*7)</f>
        <v>0</v>
      </c>
      <c r="H69" cm="1">
        <f t="array" aca="1" ref="H69" ca="1">INDIRECT("Sheet2!I" &amp; 10 + (ROW(H22)-ROW($C$4))*7)</f>
        <v>0</v>
      </c>
      <c r="I69" cm="1">
        <f t="array" aca="1" ref="I69" ca="1">INDIRECT("Sheet2!J" &amp; 10 + (ROW(I22)-ROW($C$4))*7)</f>
        <v>0</v>
      </c>
      <c r="J69" cm="1">
        <f t="array" aca="1" ref="J69" ca="1">INDIRECT("Sheet2!K" &amp; 10 + (ROW(J22)-ROW($C$4))*7)</f>
        <v>0</v>
      </c>
      <c r="K69" cm="1">
        <f t="array" aca="1" ref="K69" ca="1">INDIRECT("Sheet2!L" &amp; 10 + (ROW(K22)-ROW($C$4))*7)</f>
        <v>0</v>
      </c>
      <c r="L69" cm="1">
        <f t="array" aca="1" ref="L69" ca="1">INDIRECT("Sheet2!M" &amp; 10 + (ROW(L22)-ROW($C$4))*7)</f>
        <v>0</v>
      </c>
      <c r="M69" cm="1">
        <f t="array" aca="1" ref="M69" ca="1">INDIRECT("Sheet2!N" &amp; 10 + (ROW(M22)-ROW($C$4))*7)</f>
        <v>0</v>
      </c>
      <c r="N69" cm="1">
        <f t="array" aca="1" ref="N69" ca="1">INDIRECT("Sheet2!o" &amp; 10 + (ROW(N22)-ROW($C$4))*7)</f>
        <v>0</v>
      </c>
      <c r="O69" cm="1">
        <f t="array" aca="1" ref="O69" ca="1">INDIRECT("Sheet2!p" &amp; 10 + (ROW(O22)-ROW($C$4))*7)</f>
        <v>0</v>
      </c>
    </row>
    <row r="70" spans="3:15" x14ac:dyDescent="0.25">
      <c r="C70" cm="1">
        <f t="array" aca="1" ref="C70" ca="1">INDIRECT("Sheet2!D" &amp; 10 + (ROW(C23)-ROW($C$4))*7)</f>
        <v>0</v>
      </c>
      <c r="D70" cm="1">
        <f t="array" aca="1" ref="D70" ca="1">INDIRECT("Sheet2!E" &amp; 10 + (ROW(D23)-ROW($C$4))*7)</f>
        <v>0</v>
      </c>
      <c r="E70" cm="1">
        <f t="array" aca="1" ref="E70" ca="1">INDIRECT("Sheet2!F" &amp; 10 + (ROW(E23)-ROW($C$4))*7)</f>
        <v>0</v>
      </c>
      <c r="F70" cm="1">
        <f t="array" aca="1" ref="F70" ca="1">INDIRECT("Sheet2!G" &amp; 10 + (ROW(F23)-ROW($C$4))*7)</f>
        <v>0</v>
      </c>
      <c r="G70" cm="1">
        <f t="array" aca="1" ref="G70" ca="1">INDIRECT("Sheet2!H" &amp; 10 + (ROW(G23)-ROW($C$4))*7)</f>
        <v>0</v>
      </c>
      <c r="H70" cm="1">
        <f t="array" aca="1" ref="H70" ca="1">INDIRECT("Sheet2!I" &amp; 10 + (ROW(H23)-ROW($C$4))*7)</f>
        <v>0</v>
      </c>
      <c r="I70" cm="1">
        <f t="array" aca="1" ref="I70" ca="1">INDIRECT("Sheet2!J" &amp; 10 + (ROW(I23)-ROW($C$4))*7)</f>
        <v>0</v>
      </c>
      <c r="J70" cm="1">
        <f t="array" aca="1" ref="J70" ca="1">INDIRECT("Sheet2!K" &amp; 10 + (ROW(J23)-ROW($C$4))*7)</f>
        <v>0</v>
      </c>
      <c r="K70" cm="1">
        <f t="array" aca="1" ref="K70" ca="1">INDIRECT("Sheet2!L" &amp; 10 + (ROW(K23)-ROW($C$4))*7)</f>
        <v>0</v>
      </c>
      <c r="L70" cm="1">
        <f t="array" aca="1" ref="L70" ca="1">INDIRECT("Sheet2!M" &amp; 10 + (ROW(L23)-ROW($C$4))*7)</f>
        <v>0</v>
      </c>
      <c r="M70" cm="1">
        <f t="array" aca="1" ref="M70" ca="1">INDIRECT("Sheet2!N" &amp; 10 + (ROW(M23)-ROW($C$4))*7)</f>
        <v>0</v>
      </c>
      <c r="N70" cm="1">
        <f t="array" aca="1" ref="N70" ca="1">INDIRECT("Sheet2!o" &amp; 10 + (ROW(N23)-ROW($C$4))*7)</f>
        <v>0</v>
      </c>
      <c r="O70" cm="1">
        <f t="array" aca="1" ref="O70" ca="1">INDIRECT("Sheet2!p" &amp; 10 + (ROW(O23)-ROW($C$4))*7)</f>
        <v>0</v>
      </c>
    </row>
    <row r="71" spans="3:15" x14ac:dyDescent="0.25">
      <c r="C71" cm="1">
        <f t="array" aca="1" ref="C71" ca="1">INDIRECT("Sheet2!D" &amp; 10 + (ROW(C24)-ROW($C$4))*7)</f>
        <v>0</v>
      </c>
      <c r="D71" cm="1">
        <f t="array" aca="1" ref="D71" ca="1">INDIRECT("Sheet2!E" &amp; 10 + (ROW(D24)-ROW($C$4))*7)</f>
        <v>0</v>
      </c>
      <c r="E71" cm="1">
        <f t="array" aca="1" ref="E71" ca="1">INDIRECT("Sheet2!F" &amp; 10 + (ROW(E24)-ROW($C$4))*7)</f>
        <v>0</v>
      </c>
      <c r="F71" cm="1">
        <f t="array" aca="1" ref="F71" ca="1">INDIRECT("Sheet2!G" &amp; 10 + (ROW(F24)-ROW($C$4))*7)</f>
        <v>0</v>
      </c>
      <c r="G71" cm="1">
        <f t="array" aca="1" ref="G71" ca="1">INDIRECT("Sheet2!H" &amp; 10 + (ROW(G24)-ROW($C$4))*7)</f>
        <v>0</v>
      </c>
      <c r="H71" cm="1">
        <f t="array" aca="1" ref="H71" ca="1">INDIRECT("Sheet2!I" &amp; 10 + (ROW(H24)-ROW($C$4))*7)</f>
        <v>0</v>
      </c>
      <c r="I71" cm="1">
        <f t="array" aca="1" ref="I71" ca="1">INDIRECT("Sheet2!J" &amp; 10 + (ROW(I24)-ROW($C$4))*7)</f>
        <v>0</v>
      </c>
      <c r="J71" cm="1">
        <f t="array" aca="1" ref="J71" ca="1">INDIRECT("Sheet2!K" &amp; 10 + (ROW(J24)-ROW($C$4))*7)</f>
        <v>0</v>
      </c>
      <c r="K71" cm="1">
        <f t="array" aca="1" ref="K71" ca="1">INDIRECT("Sheet2!L" &amp; 10 + (ROW(K24)-ROW($C$4))*7)</f>
        <v>0</v>
      </c>
      <c r="L71" cm="1">
        <f t="array" aca="1" ref="L71" ca="1">INDIRECT("Sheet2!M" &amp; 10 + (ROW(L24)-ROW($C$4))*7)</f>
        <v>0</v>
      </c>
      <c r="M71" cm="1">
        <f t="array" aca="1" ref="M71" ca="1">INDIRECT("Sheet2!N" &amp; 10 + (ROW(M24)-ROW($C$4))*7)</f>
        <v>0</v>
      </c>
      <c r="N71" cm="1">
        <f t="array" aca="1" ref="N71" ca="1">INDIRECT("Sheet2!o" &amp; 10 + (ROW(N24)-ROW($C$4))*7)</f>
        <v>0</v>
      </c>
      <c r="O71" cm="1">
        <f t="array" aca="1" ref="O71" ca="1">INDIRECT("Sheet2!p" &amp; 10 + (ROW(O24)-ROW($C$4))*7)</f>
        <v>0</v>
      </c>
    </row>
    <row r="72" spans="3:15" x14ac:dyDescent="0.25">
      <c r="C72" cm="1">
        <f t="array" aca="1" ref="C72" ca="1">INDIRECT("Sheet2!D" &amp; 10 + (ROW(C25)-ROW($C$4))*7)</f>
        <v>0</v>
      </c>
      <c r="D72" cm="1">
        <f t="array" aca="1" ref="D72" ca="1">INDIRECT("Sheet2!E" &amp; 10 + (ROW(D25)-ROW($C$4))*7)</f>
        <v>0</v>
      </c>
      <c r="E72" cm="1">
        <f t="array" aca="1" ref="E72" ca="1">INDIRECT("Sheet2!F" &amp; 10 + (ROW(E25)-ROW($C$4))*7)</f>
        <v>0</v>
      </c>
      <c r="F72" cm="1">
        <f t="array" aca="1" ref="F72" ca="1">INDIRECT("Sheet2!G" &amp; 10 + (ROW(F25)-ROW($C$4))*7)</f>
        <v>0</v>
      </c>
      <c r="G72" cm="1">
        <f t="array" aca="1" ref="G72" ca="1">INDIRECT("Sheet2!H" &amp; 10 + (ROW(G25)-ROW($C$4))*7)</f>
        <v>0</v>
      </c>
      <c r="H72" cm="1">
        <f t="array" aca="1" ref="H72" ca="1">INDIRECT("Sheet2!I" &amp; 10 + (ROW(H25)-ROW($C$4))*7)</f>
        <v>0</v>
      </c>
      <c r="I72" cm="1">
        <f t="array" aca="1" ref="I72" ca="1">INDIRECT("Sheet2!J" &amp; 10 + (ROW(I25)-ROW($C$4))*7)</f>
        <v>0</v>
      </c>
      <c r="J72" cm="1">
        <f t="array" aca="1" ref="J72" ca="1">INDIRECT("Sheet2!K" &amp; 10 + (ROW(J25)-ROW($C$4))*7)</f>
        <v>0</v>
      </c>
      <c r="K72" cm="1">
        <f t="array" aca="1" ref="K72" ca="1">INDIRECT("Sheet2!L" &amp; 10 + (ROW(K25)-ROW($C$4))*7)</f>
        <v>0</v>
      </c>
      <c r="L72" cm="1">
        <f t="array" aca="1" ref="L72" ca="1">INDIRECT("Sheet2!M" &amp; 10 + (ROW(L25)-ROW($C$4))*7)</f>
        <v>0</v>
      </c>
      <c r="M72" cm="1">
        <f t="array" aca="1" ref="M72" ca="1">INDIRECT("Sheet2!N" &amp; 10 + (ROW(M25)-ROW($C$4))*7)</f>
        <v>0</v>
      </c>
      <c r="N72" cm="1">
        <f t="array" aca="1" ref="N72" ca="1">INDIRECT("Sheet2!o" &amp; 10 + (ROW(N25)-ROW($C$4))*7)</f>
        <v>0</v>
      </c>
      <c r="O72" cm="1">
        <f t="array" aca="1" ref="O72" ca="1">INDIRECT("Sheet2!p" &amp; 10 + (ROW(O25)-ROW($C$4))*7)</f>
        <v>0</v>
      </c>
    </row>
    <row r="73" spans="3:15" x14ac:dyDescent="0.25">
      <c r="C73" cm="1">
        <f t="array" aca="1" ref="C73" ca="1">INDIRECT("Sheet2!D" &amp; 10 + (ROW(C26)-ROW($C$4))*7)</f>
        <v>0</v>
      </c>
      <c r="D73" cm="1">
        <f t="array" aca="1" ref="D73" ca="1">INDIRECT("Sheet2!E" &amp; 10 + (ROW(D26)-ROW($C$4))*7)</f>
        <v>0</v>
      </c>
      <c r="E73" cm="1">
        <f t="array" aca="1" ref="E73" ca="1">INDIRECT("Sheet2!F" &amp; 10 + (ROW(E26)-ROW($C$4))*7)</f>
        <v>0</v>
      </c>
      <c r="F73" cm="1">
        <f t="array" aca="1" ref="F73" ca="1">INDIRECT("Sheet2!G" &amp; 10 + (ROW(F26)-ROW($C$4))*7)</f>
        <v>0</v>
      </c>
      <c r="G73" cm="1">
        <f t="array" aca="1" ref="G73" ca="1">INDIRECT("Sheet2!H" &amp; 10 + (ROW(G26)-ROW($C$4))*7)</f>
        <v>0</v>
      </c>
      <c r="H73" cm="1">
        <f t="array" aca="1" ref="H73" ca="1">INDIRECT("Sheet2!I" &amp; 10 + (ROW(H26)-ROW($C$4))*7)</f>
        <v>0</v>
      </c>
      <c r="I73" cm="1">
        <f t="array" aca="1" ref="I73" ca="1">INDIRECT("Sheet2!J" &amp; 10 + (ROW(I26)-ROW($C$4))*7)</f>
        <v>0</v>
      </c>
      <c r="J73" cm="1">
        <f t="array" aca="1" ref="J73" ca="1">INDIRECT("Sheet2!K" &amp; 10 + (ROW(J26)-ROW($C$4))*7)</f>
        <v>0</v>
      </c>
      <c r="K73" cm="1">
        <f t="array" aca="1" ref="K73" ca="1">INDIRECT("Sheet2!L" &amp; 10 + (ROW(K26)-ROW($C$4))*7)</f>
        <v>0</v>
      </c>
      <c r="L73" cm="1">
        <f t="array" aca="1" ref="L73" ca="1">INDIRECT("Sheet2!M" &amp; 10 + (ROW(L26)-ROW($C$4))*7)</f>
        <v>0</v>
      </c>
      <c r="M73" cm="1">
        <f t="array" aca="1" ref="M73" ca="1">INDIRECT("Sheet2!N" &amp; 10 + (ROW(M26)-ROW($C$4))*7)</f>
        <v>0</v>
      </c>
      <c r="N73" cm="1">
        <f t="array" aca="1" ref="N73" ca="1">INDIRECT("Sheet2!o" &amp; 10 + (ROW(N26)-ROW($C$4))*7)</f>
        <v>0</v>
      </c>
      <c r="O73" cm="1">
        <f t="array" aca="1" ref="O73" ca="1">INDIRECT("Sheet2!p" &amp; 10 + (ROW(O26)-ROW($C$4))*7)</f>
        <v>0</v>
      </c>
    </row>
    <row r="74" spans="3:15" x14ac:dyDescent="0.25">
      <c r="C74" cm="1">
        <f t="array" aca="1" ref="C74" ca="1">INDIRECT("Sheet2!D" &amp; 10 + (ROW(C27)-ROW($C$4))*7)</f>
        <v>0</v>
      </c>
      <c r="D74" cm="1">
        <f t="array" aca="1" ref="D74" ca="1">INDIRECT("Sheet2!E" &amp; 10 + (ROW(D27)-ROW($C$4))*7)</f>
        <v>0</v>
      </c>
      <c r="E74" cm="1">
        <f t="array" aca="1" ref="E74" ca="1">INDIRECT("Sheet2!F" &amp; 10 + (ROW(E27)-ROW($C$4))*7)</f>
        <v>0</v>
      </c>
      <c r="F74" cm="1">
        <f t="array" aca="1" ref="F74" ca="1">INDIRECT("Sheet2!G" &amp; 10 + (ROW(F27)-ROW($C$4))*7)</f>
        <v>0</v>
      </c>
      <c r="G74" cm="1">
        <f t="array" aca="1" ref="G74" ca="1">INDIRECT("Sheet2!H" &amp; 10 + (ROW(G27)-ROW($C$4))*7)</f>
        <v>0</v>
      </c>
      <c r="H74" cm="1">
        <f t="array" aca="1" ref="H74" ca="1">INDIRECT("Sheet2!I" &amp; 10 + (ROW(H27)-ROW($C$4))*7)</f>
        <v>0</v>
      </c>
      <c r="I74" cm="1">
        <f t="array" aca="1" ref="I74" ca="1">INDIRECT("Sheet2!J" &amp; 10 + (ROW(I27)-ROW($C$4))*7)</f>
        <v>0</v>
      </c>
      <c r="J74" cm="1">
        <f t="array" aca="1" ref="J74" ca="1">INDIRECT("Sheet2!K" &amp; 10 + (ROW(J27)-ROW($C$4))*7)</f>
        <v>0</v>
      </c>
      <c r="K74" cm="1">
        <f t="array" aca="1" ref="K74" ca="1">INDIRECT("Sheet2!L" &amp; 10 + (ROW(K27)-ROW($C$4))*7)</f>
        <v>0</v>
      </c>
      <c r="L74" cm="1">
        <f t="array" aca="1" ref="L74" ca="1">INDIRECT("Sheet2!M" &amp; 10 + (ROW(L27)-ROW($C$4))*7)</f>
        <v>0</v>
      </c>
      <c r="M74" cm="1">
        <f t="array" aca="1" ref="M74" ca="1">INDIRECT("Sheet2!N" &amp; 10 + (ROW(M27)-ROW($C$4))*7)</f>
        <v>0</v>
      </c>
      <c r="N74" cm="1">
        <f t="array" aca="1" ref="N74" ca="1">INDIRECT("Sheet2!o" &amp; 10 + (ROW(N27)-ROW($C$4))*7)</f>
        <v>0</v>
      </c>
      <c r="O74" cm="1">
        <f t="array" aca="1" ref="O74" ca="1">INDIRECT("Sheet2!p" &amp; 10 + (ROW(O27)-ROW($C$4))*7)</f>
        <v>0</v>
      </c>
    </row>
    <row r="75" spans="3:15" x14ac:dyDescent="0.25">
      <c r="C75" cm="1">
        <f t="array" aca="1" ref="C75" ca="1">INDIRECT("Sheet2!D" &amp; 10 + (ROW(C28)-ROW($C$4))*7)</f>
        <v>0</v>
      </c>
      <c r="D75" cm="1">
        <f t="array" aca="1" ref="D75" ca="1">INDIRECT("Sheet2!E" &amp; 10 + (ROW(D28)-ROW($C$4))*7)</f>
        <v>0</v>
      </c>
      <c r="E75" cm="1">
        <f t="array" aca="1" ref="E75" ca="1">INDIRECT("Sheet2!F" &amp; 10 + (ROW(E28)-ROW($C$4))*7)</f>
        <v>0</v>
      </c>
      <c r="F75" cm="1">
        <f t="array" aca="1" ref="F75" ca="1">INDIRECT("Sheet2!G" &amp; 10 + (ROW(F28)-ROW($C$4))*7)</f>
        <v>0</v>
      </c>
      <c r="G75" cm="1">
        <f t="array" aca="1" ref="G75" ca="1">INDIRECT("Sheet2!H" &amp; 10 + (ROW(G28)-ROW($C$4))*7)</f>
        <v>0</v>
      </c>
      <c r="H75" cm="1">
        <f t="array" aca="1" ref="H75" ca="1">INDIRECT("Sheet2!I" &amp; 10 + (ROW(H28)-ROW($C$4))*7)</f>
        <v>0</v>
      </c>
      <c r="I75" cm="1">
        <f t="array" aca="1" ref="I75" ca="1">INDIRECT("Sheet2!J" &amp; 10 + (ROW(I28)-ROW($C$4))*7)</f>
        <v>0</v>
      </c>
      <c r="J75" cm="1">
        <f t="array" aca="1" ref="J75" ca="1">INDIRECT("Sheet2!K" &amp; 10 + (ROW(J28)-ROW($C$4))*7)</f>
        <v>0</v>
      </c>
      <c r="K75" cm="1">
        <f t="array" aca="1" ref="K75" ca="1">INDIRECT("Sheet2!L" &amp; 10 + (ROW(K28)-ROW($C$4))*7)</f>
        <v>0</v>
      </c>
      <c r="L75" cm="1">
        <f t="array" aca="1" ref="L75" ca="1">INDIRECT("Sheet2!M" &amp; 10 + (ROW(L28)-ROW($C$4))*7)</f>
        <v>0</v>
      </c>
      <c r="M75" cm="1">
        <f t="array" aca="1" ref="M75" ca="1">INDIRECT("Sheet2!N" &amp; 10 + (ROW(M28)-ROW($C$4))*7)</f>
        <v>0</v>
      </c>
      <c r="N75" cm="1">
        <f t="array" aca="1" ref="N75" ca="1">INDIRECT("Sheet2!o" &amp; 10 + (ROW(N28)-ROW($C$4))*7)</f>
        <v>0</v>
      </c>
      <c r="O75" cm="1">
        <f t="array" aca="1" ref="O75" ca="1">INDIRECT("Sheet2!p" &amp; 10 + (ROW(O28)-ROW($C$4))*7)</f>
        <v>0</v>
      </c>
    </row>
    <row r="76" spans="3:15" x14ac:dyDescent="0.25">
      <c r="C76" cm="1">
        <f t="array" aca="1" ref="C76" ca="1">INDIRECT("Sheet2!D" &amp; 10 + (ROW(C29)-ROW($C$4))*7)</f>
        <v>0</v>
      </c>
      <c r="D76" cm="1">
        <f t="array" aca="1" ref="D76" ca="1">INDIRECT("Sheet2!E" &amp; 10 + (ROW(D29)-ROW($C$4))*7)</f>
        <v>0</v>
      </c>
      <c r="E76" cm="1">
        <f t="array" aca="1" ref="E76" ca="1">INDIRECT("Sheet2!F" &amp; 10 + (ROW(E29)-ROW($C$4))*7)</f>
        <v>0</v>
      </c>
      <c r="F76" cm="1">
        <f t="array" aca="1" ref="F76" ca="1">INDIRECT("Sheet2!G" &amp; 10 + (ROW(F29)-ROW($C$4))*7)</f>
        <v>0</v>
      </c>
      <c r="G76" cm="1">
        <f t="array" aca="1" ref="G76" ca="1">INDIRECT("Sheet2!H" &amp; 10 + (ROW(G29)-ROW($C$4))*7)</f>
        <v>0</v>
      </c>
      <c r="H76" cm="1">
        <f t="array" aca="1" ref="H76" ca="1">INDIRECT("Sheet2!I" &amp; 10 + (ROW(H29)-ROW($C$4))*7)</f>
        <v>0</v>
      </c>
      <c r="I76" cm="1">
        <f t="array" aca="1" ref="I76" ca="1">INDIRECT("Sheet2!J" &amp; 10 + (ROW(I29)-ROW($C$4))*7)</f>
        <v>0</v>
      </c>
      <c r="J76" cm="1">
        <f t="array" aca="1" ref="J76" ca="1">INDIRECT("Sheet2!K" &amp; 10 + (ROW(J29)-ROW($C$4))*7)</f>
        <v>0</v>
      </c>
      <c r="K76" cm="1">
        <f t="array" aca="1" ref="K76" ca="1">INDIRECT("Sheet2!L" &amp; 10 + (ROW(K29)-ROW($C$4))*7)</f>
        <v>0</v>
      </c>
      <c r="L76" cm="1">
        <f t="array" aca="1" ref="L76" ca="1">INDIRECT("Sheet2!M" &amp; 10 + (ROW(L29)-ROW($C$4))*7)</f>
        <v>0</v>
      </c>
      <c r="M76" cm="1">
        <f t="array" aca="1" ref="M76" ca="1">INDIRECT("Sheet2!N" &amp; 10 + (ROW(M29)-ROW($C$4))*7)</f>
        <v>0</v>
      </c>
      <c r="N76" cm="1">
        <f t="array" aca="1" ref="N76" ca="1">INDIRECT("Sheet2!o" &amp; 10 + (ROW(N29)-ROW($C$4))*7)</f>
        <v>0</v>
      </c>
      <c r="O76" cm="1">
        <f t="array" aca="1" ref="O76" ca="1">INDIRECT("Sheet2!p" &amp; 10 + (ROW(O29)-ROW($C$4))*7)</f>
        <v>0</v>
      </c>
    </row>
    <row r="77" spans="3:15" x14ac:dyDescent="0.25">
      <c r="C77" cm="1">
        <f t="array" aca="1" ref="C77" ca="1">INDIRECT("Sheet2!D" &amp; 10 + (ROW(C30)-ROW($C$4))*7)</f>
        <v>0</v>
      </c>
      <c r="D77" cm="1">
        <f t="array" aca="1" ref="D77" ca="1">INDIRECT("Sheet2!E" &amp; 10 + (ROW(D30)-ROW($C$4))*7)</f>
        <v>0</v>
      </c>
      <c r="E77" cm="1">
        <f t="array" aca="1" ref="E77" ca="1">INDIRECT("Sheet2!F" &amp; 10 + (ROW(E30)-ROW($C$4))*7)</f>
        <v>0</v>
      </c>
      <c r="F77" cm="1">
        <f t="array" aca="1" ref="F77" ca="1">INDIRECT("Sheet2!G" &amp; 10 + (ROW(F30)-ROW($C$4))*7)</f>
        <v>0</v>
      </c>
      <c r="G77" cm="1">
        <f t="array" aca="1" ref="G77" ca="1">INDIRECT("Sheet2!H" &amp; 10 + (ROW(G30)-ROW($C$4))*7)</f>
        <v>0</v>
      </c>
      <c r="H77" cm="1">
        <f t="array" aca="1" ref="H77" ca="1">INDIRECT("Sheet2!I" &amp; 10 + (ROW(H30)-ROW($C$4))*7)</f>
        <v>0</v>
      </c>
      <c r="I77" cm="1">
        <f t="array" aca="1" ref="I77" ca="1">INDIRECT("Sheet2!J" &amp; 10 + (ROW(I30)-ROW($C$4))*7)</f>
        <v>0</v>
      </c>
      <c r="J77" cm="1">
        <f t="array" aca="1" ref="J77" ca="1">INDIRECT("Sheet2!K" &amp; 10 + (ROW(J30)-ROW($C$4))*7)</f>
        <v>0</v>
      </c>
      <c r="K77" cm="1">
        <f t="array" aca="1" ref="K77" ca="1">INDIRECT("Sheet2!L" &amp; 10 + (ROW(K30)-ROW($C$4))*7)</f>
        <v>0</v>
      </c>
      <c r="L77" cm="1">
        <f t="array" aca="1" ref="L77" ca="1">INDIRECT("Sheet2!M" &amp; 10 + (ROW(L30)-ROW($C$4))*7)</f>
        <v>0</v>
      </c>
      <c r="M77" cm="1">
        <f t="array" aca="1" ref="M77" ca="1">INDIRECT("Sheet2!N" &amp; 10 + (ROW(M30)-ROW($C$4))*7)</f>
        <v>0</v>
      </c>
      <c r="N77" cm="1">
        <f t="array" aca="1" ref="N77" ca="1">INDIRECT("Sheet2!o" &amp; 10 + (ROW(N30)-ROW($C$4))*7)</f>
        <v>0</v>
      </c>
      <c r="O77" cm="1">
        <f t="array" aca="1" ref="O77" ca="1">INDIRECT("Sheet2!p" &amp; 10 + (ROW(O30)-ROW($C$4))*7)</f>
        <v>0</v>
      </c>
    </row>
    <row r="78" spans="3:15" x14ac:dyDescent="0.25">
      <c r="C78" cm="1">
        <f t="array" aca="1" ref="C78" ca="1">INDIRECT("Sheet2!D" &amp; 10 + (ROW(C31)-ROW($C$4))*7)</f>
        <v>0</v>
      </c>
      <c r="D78" cm="1">
        <f t="array" aca="1" ref="D78" ca="1">INDIRECT("Sheet2!E" &amp; 10 + (ROW(D31)-ROW($C$4))*7)</f>
        <v>0</v>
      </c>
      <c r="E78" cm="1">
        <f t="array" aca="1" ref="E78" ca="1">INDIRECT("Sheet2!F" &amp; 10 + (ROW(E31)-ROW($C$4))*7)</f>
        <v>0</v>
      </c>
      <c r="F78" cm="1">
        <f t="array" aca="1" ref="F78" ca="1">INDIRECT("Sheet2!G" &amp; 10 + (ROW(F31)-ROW($C$4))*7)</f>
        <v>0</v>
      </c>
      <c r="G78" cm="1">
        <f t="array" aca="1" ref="G78" ca="1">INDIRECT("Sheet2!H" &amp; 10 + (ROW(G31)-ROW($C$4))*7)</f>
        <v>0</v>
      </c>
      <c r="H78" cm="1">
        <f t="array" aca="1" ref="H78" ca="1">INDIRECT("Sheet2!I" &amp; 10 + (ROW(H31)-ROW($C$4))*7)</f>
        <v>0</v>
      </c>
      <c r="I78" cm="1">
        <f t="array" aca="1" ref="I78" ca="1">INDIRECT("Sheet2!J" &amp; 10 + (ROW(I31)-ROW($C$4))*7)</f>
        <v>0</v>
      </c>
      <c r="J78" cm="1">
        <f t="array" aca="1" ref="J78" ca="1">INDIRECT("Sheet2!K" &amp; 10 + (ROW(J31)-ROW($C$4))*7)</f>
        <v>0</v>
      </c>
      <c r="K78" cm="1">
        <f t="array" aca="1" ref="K78" ca="1">INDIRECT("Sheet2!L" &amp; 10 + (ROW(K31)-ROW($C$4))*7)</f>
        <v>0</v>
      </c>
      <c r="L78" cm="1">
        <f t="array" aca="1" ref="L78" ca="1">INDIRECT("Sheet2!M" &amp; 10 + (ROW(L31)-ROW($C$4))*7)</f>
        <v>0</v>
      </c>
      <c r="M78" cm="1">
        <f t="array" aca="1" ref="M78" ca="1">INDIRECT("Sheet2!N" &amp; 10 + (ROW(M31)-ROW($C$4))*7)</f>
        <v>0</v>
      </c>
      <c r="N78" cm="1">
        <f t="array" aca="1" ref="N78" ca="1">INDIRECT("Sheet2!o" &amp; 10 + (ROW(N31)-ROW($C$4))*7)</f>
        <v>0</v>
      </c>
      <c r="O78" cm="1">
        <f t="array" aca="1" ref="O78" ca="1">INDIRECT("Sheet2!p" &amp; 10 + (ROW(O31)-ROW($C$4))*7)</f>
        <v>0</v>
      </c>
    </row>
    <row r="79" spans="3:15" x14ac:dyDescent="0.25">
      <c r="C79" cm="1">
        <f t="array" aca="1" ref="C79" ca="1">INDIRECT("Sheet2!D" &amp; 10 + (ROW(C32)-ROW($C$4))*7)</f>
        <v>0</v>
      </c>
      <c r="D79" cm="1">
        <f t="array" aca="1" ref="D79" ca="1">INDIRECT("Sheet2!E" &amp; 10 + (ROW(D32)-ROW($C$4))*7)</f>
        <v>0</v>
      </c>
      <c r="E79" cm="1">
        <f t="array" aca="1" ref="E79" ca="1">INDIRECT("Sheet2!F" &amp; 10 + (ROW(E32)-ROW($C$4))*7)</f>
        <v>0</v>
      </c>
      <c r="F79" cm="1">
        <f t="array" aca="1" ref="F79" ca="1">INDIRECT("Sheet2!G" &amp; 10 + (ROW(F32)-ROW($C$4))*7)</f>
        <v>0</v>
      </c>
      <c r="G79" cm="1">
        <f t="array" aca="1" ref="G79" ca="1">INDIRECT("Sheet2!H" &amp; 10 + (ROW(G32)-ROW($C$4))*7)</f>
        <v>0</v>
      </c>
      <c r="H79" cm="1">
        <f t="array" aca="1" ref="H79" ca="1">INDIRECT("Sheet2!I" &amp; 10 + (ROW(H32)-ROW($C$4))*7)</f>
        <v>0</v>
      </c>
      <c r="I79" cm="1">
        <f t="array" aca="1" ref="I79" ca="1">INDIRECT("Sheet2!J" &amp; 10 + (ROW(I32)-ROW($C$4))*7)</f>
        <v>0</v>
      </c>
      <c r="J79" cm="1">
        <f t="array" aca="1" ref="J79" ca="1">INDIRECT("Sheet2!K" &amp; 10 + (ROW(J32)-ROW($C$4))*7)</f>
        <v>0</v>
      </c>
      <c r="K79" cm="1">
        <f t="array" aca="1" ref="K79" ca="1">INDIRECT("Sheet2!L" &amp; 10 + (ROW(K32)-ROW($C$4))*7)</f>
        <v>0</v>
      </c>
      <c r="L79" cm="1">
        <f t="array" aca="1" ref="L79" ca="1">INDIRECT("Sheet2!M" &amp; 10 + (ROW(L32)-ROW($C$4))*7)</f>
        <v>0</v>
      </c>
      <c r="M79" cm="1">
        <f t="array" aca="1" ref="M79" ca="1">INDIRECT("Sheet2!N" &amp; 10 + (ROW(M32)-ROW($C$4))*7)</f>
        <v>0</v>
      </c>
      <c r="N79" cm="1">
        <f t="array" aca="1" ref="N79" ca="1">INDIRECT("Sheet2!o" &amp; 10 + (ROW(N32)-ROW($C$4))*7)</f>
        <v>0</v>
      </c>
      <c r="O79" cm="1">
        <f t="array" aca="1" ref="O79" ca="1">INDIRECT("Sheet2!p" &amp; 10 + (ROW(O32)-ROW($C$4))*7)</f>
        <v>0</v>
      </c>
    </row>
    <row r="80" spans="3:15" x14ac:dyDescent="0.25">
      <c r="C80" cm="1">
        <f t="array" aca="1" ref="C80" ca="1">INDIRECT("Sheet2!D" &amp; 10 + (ROW(C33)-ROW($C$4))*7)</f>
        <v>0</v>
      </c>
      <c r="D80" cm="1">
        <f t="array" aca="1" ref="D80" ca="1">INDIRECT("Sheet2!E" &amp; 10 + (ROW(D33)-ROW($C$4))*7)</f>
        <v>0</v>
      </c>
      <c r="E80" cm="1">
        <f t="array" aca="1" ref="E80" ca="1">INDIRECT("Sheet2!F" &amp; 10 + (ROW(E33)-ROW($C$4))*7)</f>
        <v>0</v>
      </c>
      <c r="F80" cm="1">
        <f t="array" aca="1" ref="F80" ca="1">INDIRECT("Sheet2!G" &amp; 10 + (ROW(F33)-ROW($C$4))*7)</f>
        <v>0</v>
      </c>
      <c r="G80" cm="1">
        <f t="array" aca="1" ref="G80" ca="1">INDIRECT("Sheet2!H" &amp; 10 + (ROW(G33)-ROW($C$4))*7)</f>
        <v>0</v>
      </c>
      <c r="H80" cm="1">
        <f t="array" aca="1" ref="H80" ca="1">INDIRECT("Sheet2!I" &amp; 10 + (ROW(H33)-ROW($C$4))*7)</f>
        <v>0</v>
      </c>
      <c r="I80" cm="1">
        <f t="array" aca="1" ref="I80" ca="1">INDIRECT("Sheet2!J" &amp; 10 + (ROW(I33)-ROW($C$4))*7)</f>
        <v>0</v>
      </c>
      <c r="J80" cm="1">
        <f t="array" aca="1" ref="J80" ca="1">INDIRECT("Sheet2!K" &amp; 10 + (ROW(J33)-ROW($C$4))*7)</f>
        <v>0</v>
      </c>
      <c r="K80" cm="1">
        <f t="array" aca="1" ref="K80" ca="1">INDIRECT("Sheet2!L" &amp; 10 + (ROW(K33)-ROW($C$4))*7)</f>
        <v>0</v>
      </c>
      <c r="L80" cm="1">
        <f t="array" aca="1" ref="L80" ca="1">INDIRECT("Sheet2!M" &amp; 10 + (ROW(L33)-ROW($C$4))*7)</f>
        <v>0</v>
      </c>
      <c r="M80" cm="1">
        <f t="array" aca="1" ref="M80" ca="1">INDIRECT("Sheet2!N" &amp; 10 + (ROW(M33)-ROW($C$4))*7)</f>
        <v>0</v>
      </c>
      <c r="N80" cm="1">
        <f t="array" aca="1" ref="N80" ca="1">INDIRECT("Sheet2!o" &amp; 10 + (ROW(N33)-ROW($C$4))*7)</f>
        <v>0</v>
      </c>
      <c r="O80" cm="1">
        <f t="array" aca="1" ref="O80" ca="1">INDIRECT("Sheet2!p" &amp; 10 + (ROW(O33)-ROW($C$4))*7)</f>
        <v>0</v>
      </c>
    </row>
    <row r="81" spans="2:15" x14ac:dyDescent="0.25">
      <c r="C81" cm="1">
        <f t="array" aca="1" ref="C81" ca="1">INDIRECT("Sheet2!D" &amp; 10 + (ROW(C34)-ROW($C$4))*7)</f>
        <v>0</v>
      </c>
      <c r="D81" cm="1">
        <f t="array" aca="1" ref="D81" ca="1">INDIRECT("Sheet2!E" &amp; 10 + (ROW(D34)-ROW($C$4))*7)</f>
        <v>0</v>
      </c>
      <c r="E81" cm="1">
        <f t="array" aca="1" ref="E81" ca="1">INDIRECT("Sheet2!F" &amp; 10 + (ROW(E34)-ROW($C$4))*7)</f>
        <v>0</v>
      </c>
      <c r="F81" cm="1">
        <f t="array" aca="1" ref="F81" ca="1">INDIRECT("Sheet2!G" &amp; 10 + (ROW(F34)-ROW($C$4))*7)</f>
        <v>0</v>
      </c>
      <c r="G81" cm="1">
        <f t="array" aca="1" ref="G81" ca="1">INDIRECT("Sheet2!H" &amp; 10 + (ROW(G34)-ROW($C$4))*7)</f>
        <v>0</v>
      </c>
      <c r="H81" cm="1">
        <f t="array" aca="1" ref="H81" ca="1">INDIRECT("Sheet2!I" &amp; 10 + (ROW(H34)-ROW($C$4))*7)</f>
        <v>0</v>
      </c>
      <c r="I81" cm="1">
        <f t="array" aca="1" ref="I81" ca="1">INDIRECT("Sheet2!J" &amp; 10 + (ROW(I34)-ROW($C$4))*7)</f>
        <v>0</v>
      </c>
      <c r="J81" cm="1">
        <f t="array" aca="1" ref="J81" ca="1">INDIRECT("Sheet2!K" &amp; 10 + (ROW(J34)-ROW($C$4))*7)</f>
        <v>0</v>
      </c>
      <c r="K81" cm="1">
        <f t="array" aca="1" ref="K81" ca="1">INDIRECT("Sheet2!L" &amp; 10 + (ROW(K34)-ROW($C$4))*7)</f>
        <v>0</v>
      </c>
      <c r="L81" cm="1">
        <f t="array" aca="1" ref="L81" ca="1">INDIRECT("Sheet2!M" &amp; 10 + (ROW(L34)-ROW($C$4))*7)</f>
        <v>0</v>
      </c>
      <c r="M81" cm="1">
        <f t="array" aca="1" ref="M81" ca="1">INDIRECT("Sheet2!N" &amp; 10 + (ROW(M34)-ROW($C$4))*7)</f>
        <v>0</v>
      </c>
      <c r="N81" cm="1">
        <f t="array" aca="1" ref="N81" ca="1">INDIRECT("Sheet2!o" &amp; 10 + (ROW(N34)-ROW($C$4))*7)</f>
        <v>0</v>
      </c>
      <c r="O81" cm="1">
        <f t="array" aca="1" ref="O81" ca="1">INDIRECT("Sheet2!p" &amp; 10 + (ROW(O34)-ROW($C$4))*7)</f>
        <v>0</v>
      </c>
    </row>
    <row r="82" spans="2:15" x14ac:dyDescent="0.25">
      <c r="C82" cm="1">
        <f t="array" aca="1" ref="C82" ca="1">INDIRECT("Sheet2!D" &amp; 10 + (ROW(C35)-ROW($C$4))*7)</f>
        <v>0</v>
      </c>
      <c r="D82" cm="1">
        <f t="array" aca="1" ref="D82" ca="1">INDIRECT("Sheet2!E" &amp; 10 + (ROW(D35)-ROW($C$4))*7)</f>
        <v>0</v>
      </c>
      <c r="E82" cm="1">
        <f t="array" aca="1" ref="E82" ca="1">INDIRECT("Sheet2!F" &amp; 10 + (ROW(E35)-ROW($C$4))*7)</f>
        <v>0</v>
      </c>
      <c r="F82" cm="1">
        <f t="array" aca="1" ref="F82" ca="1">INDIRECT("Sheet2!G" &amp; 10 + (ROW(F35)-ROW($C$4))*7)</f>
        <v>0</v>
      </c>
      <c r="G82" cm="1">
        <f t="array" aca="1" ref="G82" ca="1">INDIRECT("Sheet2!H" &amp; 10 + (ROW(G35)-ROW($C$4))*7)</f>
        <v>0</v>
      </c>
      <c r="H82" cm="1">
        <f t="array" aca="1" ref="H82" ca="1">INDIRECT("Sheet2!I" &amp; 10 + (ROW(H35)-ROW($C$4))*7)</f>
        <v>0</v>
      </c>
      <c r="I82" cm="1">
        <f t="array" aca="1" ref="I82" ca="1">INDIRECT("Sheet2!J" &amp; 10 + (ROW(I35)-ROW($C$4))*7)</f>
        <v>0</v>
      </c>
      <c r="J82" cm="1">
        <f t="array" aca="1" ref="J82" ca="1">INDIRECT("Sheet2!K" &amp; 10 + (ROW(J35)-ROW($C$4))*7)</f>
        <v>0</v>
      </c>
      <c r="K82" cm="1">
        <f t="array" aca="1" ref="K82" ca="1">INDIRECT("Sheet2!L" &amp; 10 + (ROW(K35)-ROW($C$4))*7)</f>
        <v>0</v>
      </c>
      <c r="L82" cm="1">
        <f t="array" aca="1" ref="L82" ca="1">INDIRECT("Sheet2!M" &amp; 10 + (ROW(L35)-ROW($C$4))*7)</f>
        <v>0</v>
      </c>
      <c r="M82" cm="1">
        <f t="array" aca="1" ref="M82" ca="1">INDIRECT("Sheet2!N" &amp; 10 + (ROW(M35)-ROW($C$4))*7)</f>
        <v>0</v>
      </c>
      <c r="N82" cm="1">
        <f t="array" aca="1" ref="N82" ca="1">INDIRECT("Sheet2!o" &amp; 10 + (ROW(N35)-ROW($C$4))*7)</f>
        <v>0</v>
      </c>
      <c r="O82" cm="1">
        <f t="array" aca="1" ref="O82" ca="1">INDIRECT("Sheet2!p" &amp; 10 + (ROW(O35)-ROW($C$4))*7)</f>
        <v>0</v>
      </c>
    </row>
    <row r="83" spans="2:15" x14ac:dyDescent="0.25">
      <c r="C83" cm="1">
        <f t="array" aca="1" ref="C83" ca="1">INDIRECT("Sheet2!D" &amp; 10 + (ROW(C36)-ROW($C$4))*7)</f>
        <v>0</v>
      </c>
      <c r="D83" cm="1">
        <f t="array" aca="1" ref="D83" ca="1">INDIRECT("Sheet2!E" &amp; 10 + (ROW(D36)-ROW($C$4))*7)</f>
        <v>0</v>
      </c>
      <c r="E83" cm="1">
        <f t="array" aca="1" ref="E83" ca="1">INDIRECT("Sheet2!F" &amp; 10 + (ROW(E36)-ROW($C$4))*7)</f>
        <v>0</v>
      </c>
      <c r="F83" cm="1">
        <f t="array" aca="1" ref="F83" ca="1">INDIRECT("Sheet2!G" &amp; 10 + (ROW(F36)-ROW($C$4))*7)</f>
        <v>0</v>
      </c>
      <c r="G83" cm="1">
        <f t="array" aca="1" ref="G83" ca="1">INDIRECT("Sheet2!H" &amp; 10 + (ROW(G36)-ROW($C$4))*7)</f>
        <v>0</v>
      </c>
      <c r="H83" cm="1">
        <f t="array" aca="1" ref="H83" ca="1">INDIRECT("Sheet2!I" &amp; 10 + (ROW(H36)-ROW($C$4))*7)</f>
        <v>0</v>
      </c>
      <c r="I83" cm="1">
        <f t="array" aca="1" ref="I83" ca="1">INDIRECT("Sheet2!J" &amp; 10 + (ROW(I36)-ROW($C$4))*7)</f>
        <v>0</v>
      </c>
      <c r="J83" cm="1">
        <f t="array" aca="1" ref="J83" ca="1">INDIRECT("Sheet2!K" &amp; 10 + (ROW(J36)-ROW($C$4))*7)</f>
        <v>0</v>
      </c>
      <c r="K83" cm="1">
        <f t="array" aca="1" ref="K83" ca="1">INDIRECT("Sheet2!L" &amp; 10 + (ROW(K36)-ROW($C$4))*7)</f>
        <v>0</v>
      </c>
      <c r="L83" cm="1">
        <f t="array" aca="1" ref="L83" ca="1">INDIRECT("Sheet2!M" &amp; 10 + (ROW(L36)-ROW($C$4))*7)</f>
        <v>0</v>
      </c>
      <c r="M83" cm="1">
        <f t="array" aca="1" ref="M83" ca="1">INDIRECT("Sheet2!N" &amp; 10 + (ROW(M36)-ROW($C$4))*7)</f>
        <v>0</v>
      </c>
      <c r="N83" cm="1">
        <f t="array" aca="1" ref="N83" ca="1">INDIRECT("Sheet2!o" &amp; 10 + (ROW(N36)-ROW($C$4))*7)</f>
        <v>0</v>
      </c>
      <c r="O83" cm="1">
        <f t="array" aca="1" ref="O83" ca="1">INDIRECT("Sheet2!p" &amp; 10 + (ROW(O36)-ROW($C$4))*7)</f>
        <v>0</v>
      </c>
    </row>
    <row r="84" spans="2:15" x14ac:dyDescent="0.25">
      <c r="C84" cm="1">
        <f t="array" aca="1" ref="C84" ca="1">INDIRECT("Sheet2!D" &amp; 10 + (ROW(C37)-ROW($C$4))*7)</f>
        <v>0</v>
      </c>
      <c r="D84" cm="1">
        <f t="array" aca="1" ref="D84" ca="1">INDIRECT("Sheet2!E" &amp; 10 + (ROW(D37)-ROW($C$4))*7)</f>
        <v>0</v>
      </c>
      <c r="E84" cm="1">
        <f t="array" aca="1" ref="E84" ca="1">INDIRECT("Sheet2!F" &amp; 10 + (ROW(E37)-ROW($C$4))*7)</f>
        <v>0</v>
      </c>
      <c r="F84" cm="1">
        <f t="array" aca="1" ref="F84" ca="1">INDIRECT("Sheet2!G" &amp; 10 + (ROW(F37)-ROW($C$4))*7)</f>
        <v>0</v>
      </c>
      <c r="G84" cm="1">
        <f t="array" aca="1" ref="G84" ca="1">INDIRECT("Sheet2!H" &amp; 10 + (ROW(G37)-ROW($C$4))*7)</f>
        <v>0</v>
      </c>
      <c r="H84" cm="1">
        <f t="array" aca="1" ref="H84" ca="1">INDIRECT("Sheet2!I" &amp; 10 + (ROW(H37)-ROW($C$4))*7)</f>
        <v>0</v>
      </c>
      <c r="I84" cm="1">
        <f t="array" aca="1" ref="I84" ca="1">INDIRECT("Sheet2!J" &amp; 10 + (ROW(I37)-ROW($C$4))*7)</f>
        <v>0</v>
      </c>
      <c r="J84" cm="1">
        <f t="array" aca="1" ref="J84" ca="1">INDIRECT("Sheet2!K" &amp; 10 + (ROW(J37)-ROW($C$4))*7)</f>
        <v>0</v>
      </c>
      <c r="K84" cm="1">
        <f t="array" aca="1" ref="K84" ca="1">INDIRECT("Sheet2!L" &amp; 10 + (ROW(K37)-ROW($C$4))*7)</f>
        <v>0</v>
      </c>
      <c r="L84" cm="1">
        <f t="array" aca="1" ref="L84" ca="1">INDIRECT("Sheet2!M" &amp; 10 + (ROW(L37)-ROW($C$4))*7)</f>
        <v>0</v>
      </c>
      <c r="M84" cm="1">
        <f t="array" aca="1" ref="M84" ca="1">INDIRECT("Sheet2!N" &amp; 10 + (ROW(M37)-ROW($C$4))*7)</f>
        <v>0</v>
      </c>
      <c r="N84" cm="1">
        <f t="array" aca="1" ref="N84" ca="1">INDIRECT("Sheet2!o" &amp; 10 + (ROW(N37)-ROW($C$4))*7)</f>
        <v>0</v>
      </c>
      <c r="O84" cm="1">
        <f t="array" aca="1" ref="O84" ca="1">INDIRECT("Sheet2!p" &amp; 10 + (ROW(O37)-ROW($C$4))*7)</f>
        <v>0</v>
      </c>
    </row>
    <row r="85" spans="2:15" x14ac:dyDescent="0.25">
      <c r="C85" cm="1">
        <f t="array" aca="1" ref="C85" ca="1">INDIRECT("Sheet2!D" &amp; 10 + (ROW(C38)-ROW($C$4))*7)</f>
        <v>0</v>
      </c>
      <c r="D85" cm="1">
        <f t="array" aca="1" ref="D85" ca="1">INDIRECT("Sheet2!E" &amp; 10 + (ROW(D38)-ROW($C$4))*7)</f>
        <v>0</v>
      </c>
      <c r="E85" cm="1">
        <f t="array" aca="1" ref="E85" ca="1">INDIRECT("Sheet2!F" &amp; 10 + (ROW(E38)-ROW($C$4))*7)</f>
        <v>0</v>
      </c>
      <c r="F85" cm="1">
        <f t="array" aca="1" ref="F85" ca="1">INDIRECT("Sheet2!G" &amp; 10 + (ROW(F38)-ROW($C$4))*7)</f>
        <v>0</v>
      </c>
      <c r="G85" cm="1">
        <f t="array" aca="1" ref="G85" ca="1">INDIRECT("Sheet2!H" &amp; 10 + (ROW(G38)-ROW($C$4))*7)</f>
        <v>0</v>
      </c>
      <c r="H85" cm="1">
        <f t="array" aca="1" ref="H85" ca="1">INDIRECT("Sheet2!I" &amp; 10 + (ROW(H38)-ROW($C$4))*7)</f>
        <v>0</v>
      </c>
      <c r="I85" cm="1">
        <f t="array" aca="1" ref="I85" ca="1">INDIRECT("Sheet2!J" &amp; 10 + (ROW(I38)-ROW($C$4))*7)</f>
        <v>0</v>
      </c>
      <c r="J85" cm="1">
        <f t="array" aca="1" ref="J85" ca="1">INDIRECT("Sheet2!K" &amp; 10 + (ROW(J38)-ROW($C$4))*7)</f>
        <v>0</v>
      </c>
      <c r="K85" cm="1">
        <f t="array" aca="1" ref="K85" ca="1">INDIRECT("Sheet2!L" &amp; 10 + (ROW(K38)-ROW($C$4))*7)</f>
        <v>0</v>
      </c>
      <c r="L85" cm="1">
        <f t="array" aca="1" ref="L85" ca="1">INDIRECT("Sheet2!M" &amp; 10 + (ROW(L38)-ROW($C$4))*7)</f>
        <v>0</v>
      </c>
      <c r="M85" cm="1">
        <f t="array" aca="1" ref="M85" ca="1">INDIRECT("Sheet2!N" &amp; 10 + (ROW(M38)-ROW($C$4))*7)</f>
        <v>0</v>
      </c>
      <c r="N85" cm="1">
        <f t="array" aca="1" ref="N85" ca="1">INDIRECT("Sheet2!o" &amp; 10 + (ROW(N38)-ROW($C$4))*7)</f>
        <v>0</v>
      </c>
      <c r="O85" cm="1">
        <f t="array" aca="1" ref="O85" ca="1">INDIRECT("Sheet2!p" &amp; 10 + (ROW(O38)-ROW($C$4))*7)</f>
        <v>0</v>
      </c>
    </row>
    <row r="86" spans="2:15" x14ac:dyDescent="0.25">
      <c r="C86" cm="1">
        <f t="array" aca="1" ref="C86" ca="1">INDIRECT("Sheet2!D" &amp; 10 + (ROW(C39)-ROW($C$4))*7)</f>
        <v>0</v>
      </c>
      <c r="D86" cm="1">
        <f t="array" aca="1" ref="D86" ca="1">INDIRECT("Sheet2!E" &amp; 10 + (ROW(D39)-ROW($C$4))*7)</f>
        <v>0</v>
      </c>
      <c r="E86" cm="1">
        <f t="array" aca="1" ref="E86" ca="1">INDIRECT("Sheet2!F" &amp; 10 + (ROW(E39)-ROW($C$4))*7)</f>
        <v>0</v>
      </c>
      <c r="F86" cm="1">
        <f t="array" aca="1" ref="F86" ca="1">INDIRECT("Sheet2!G" &amp; 10 + (ROW(F39)-ROW($C$4))*7)</f>
        <v>0</v>
      </c>
      <c r="G86" cm="1">
        <f t="array" aca="1" ref="G86" ca="1">INDIRECT("Sheet2!H" &amp; 10 + (ROW(G39)-ROW($C$4))*7)</f>
        <v>0</v>
      </c>
      <c r="H86" cm="1">
        <f t="array" aca="1" ref="H86" ca="1">INDIRECT("Sheet2!I" &amp; 10 + (ROW(H39)-ROW($C$4))*7)</f>
        <v>0</v>
      </c>
      <c r="I86" cm="1">
        <f t="array" aca="1" ref="I86" ca="1">INDIRECT("Sheet2!J" &amp; 10 + (ROW(I39)-ROW($C$4))*7)</f>
        <v>0</v>
      </c>
      <c r="J86" cm="1">
        <f t="array" aca="1" ref="J86" ca="1">INDIRECT("Sheet2!K" &amp; 10 + (ROW(J39)-ROW($C$4))*7)</f>
        <v>0</v>
      </c>
      <c r="K86" cm="1">
        <f t="array" aca="1" ref="K86" ca="1">INDIRECT("Sheet2!L" &amp; 10 + (ROW(K39)-ROW($C$4))*7)</f>
        <v>0</v>
      </c>
      <c r="L86" cm="1">
        <f t="array" aca="1" ref="L86" ca="1">INDIRECT("Sheet2!M" &amp; 10 + (ROW(L39)-ROW($C$4))*7)</f>
        <v>0</v>
      </c>
      <c r="M86" cm="1">
        <f t="array" aca="1" ref="M86" ca="1">INDIRECT("Sheet2!N" &amp; 10 + (ROW(M39)-ROW($C$4))*7)</f>
        <v>0</v>
      </c>
      <c r="N86" cm="1">
        <f t="array" aca="1" ref="N86" ca="1">INDIRECT("Sheet2!o" &amp; 10 + (ROW(N39)-ROW($C$4))*7)</f>
        <v>0</v>
      </c>
      <c r="O86" cm="1">
        <f t="array" aca="1" ref="O86" ca="1">INDIRECT("Sheet2!p" &amp; 10 + (ROW(O39)-ROW($C$4))*7)</f>
        <v>0</v>
      </c>
    </row>
    <row r="87" spans="2:15" x14ac:dyDescent="0.25">
      <c r="C87" cm="1">
        <f t="array" aca="1" ref="C87" ca="1">INDIRECT("Sheet2!D" &amp; 10 + (ROW(C40)-ROW($C$4))*7)</f>
        <v>0</v>
      </c>
      <c r="D87" cm="1">
        <f t="array" aca="1" ref="D87" ca="1">INDIRECT("Sheet2!E" &amp; 10 + (ROW(D40)-ROW($C$4))*7)</f>
        <v>0</v>
      </c>
      <c r="E87" cm="1">
        <f t="array" aca="1" ref="E87" ca="1">INDIRECT("Sheet2!F" &amp; 10 + (ROW(E40)-ROW($C$4))*7)</f>
        <v>0</v>
      </c>
      <c r="F87" cm="1">
        <f t="array" aca="1" ref="F87" ca="1">INDIRECT("Sheet2!G" &amp; 10 + (ROW(F40)-ROW($C$4))*7)</f>
        <v>0</v>
      </c>
      <c r="G87" cm="1">
        <f t="array" aca="1" ref="G87" ca="1">INDIRECT("Sheet2!H" &amp; 10 + (ROW(G40)-ROW($C$4))*7)</f>
        <v>0</v>
      </c>
      <c r="H87" cm="1">
        <f t="array" aca="1" ref="H87" ca="1">INDIRECT("Sheet2!I" &amp; 10 + (ROW(H40)-ROW($C$4))*7)</f>
        <v>0</v>
      </c>
      <c r="I87" cm="1">
        <f t="array" aca="1" ref="I87" ca="1">INDIRECT("Sheet2!J" &amp; 10 + (ROW(I40)-ROW($C$4))*7)</f>
        <v>0</v>
      </c>
      <c r="J87" cm="1">
        <f t="array" aca="1" ref="J87" ca="1">INDIRECT("Sheet2!K" &amp; 10 + (ROW(J40)-ROW($C$4))*7)</f>
        <v>0</v>
      </c>
      <c r="K87" cm="1">
        <f t="array" aca="1" ref="K87" ca="1">INDIRECT("Sheet2!L" &amp; 10 + (ROW(K40)-ROW($C$4))*7)</f>
        <v>0</v>
      </c>
      <c r="L87" cm="1">
        <f t="array" aca="1" ref="L87" ca="1">INDIRECT("Sheet2!M" &amp; 10 + (ROW(L40)-ROW($C$4))*7)</f>
        <v>0</v>
      </c>
      <c r="M87" cm="1">
        <f t="array" aca="1" ref="M87" ca="1">INDIRECT("Sheet2!N" &amp; 10 + (ROW(M40)-ROW($C$4))*7)</f>
        <v>0</v>
      </c>
      <c r="N87" cm="1">
        <f t="array" aca="1" ref="N87" ca="1">INDIRECT("Sheet2!o" &amp; 10 + (ROW(N40)-ROW($C$4))*7)</f>
        <v>0</v>
      </c>
      <c r="O87" cm="1">
        <f t="array" aca="1" ref="O87" ca="1">INDIRECT("Sheet2!p" &amp; 10 + (ROW(O40)-ROW($C$4))*7)</f>
        <v>0</v>
      </c>
    </row>
    <row r="88" spans="2:15" x14ac:dyDescent="0.25">
      <c r="C88" s="25" cm="1">
        <f t="array" aca="1" ref="C88" ca="1">INDIRECT("Sheet2!D" &amp; 10 + (ROW(C41)-ROW($C$4))*7)</f>
        <v>0</v>
      </c>
      <c r="D88" s="25" cm="1">
        <f t="array" aca="1" ref="D88" ca="1">INDIRECT("Sheet2!E" &amp; 10 + (ROW(D41)-ROW($C$4))*7)</f>
        <v>0</v>
      </c>
      <c r="E88" s="25" cm="1">
        <f t="array" aca="1" ref="E88" ca="1">INDIRECT("Sheet2!F" &amp; 10 + (ROW(E41)-ROW($C$4))*7)</f>
        <v>0</v>
      </c>
      <c r="F88" s="25" cm="1">
        <f t="array" aca="1" ref="F88" ca="1">INDIRECT("Sheet2!G" &amp; 10 + (ROW(F41)-ROW($C$4))*7)</f>
        <v>0</v>
      </c>
      <c r="G88" s="25" cm="1">
        <f t="array" aca="1" ref="G88" ca="1">INDIRECT("Sheet2!H" &amp; 10 + (ROW(G41)-ROW($C$4))*7)</f>
        <v>0</v>
      </c>
      <c r="H88" s="25" cm="1">
        <f t="array" aca="1" ref="H88" ca="1">INDIRECT("Sheet2!I" &amp; 10 + (ROW(H41)-ROW($C$4))*7)</f>
        <v>0</v>
      </c>
      <c r="I88" s="25" cm="1">
        <f t="array" aca="1" ref="I88" ca="1">INDIRECT("Sheet2!J" &amp; 10 + (ROW(I41)-ROW($C$4))*7)</f>
        <v>0</v>
      </c>
      <c r="J88" s="25" cm="1">
        <f t="array" aca="1" ref="J88" ca="1">INDIRECT("Sheet2!K" &amp; 10 + (ROW(J41)-ROW($C$4))*7)</f>
        <v>0</v>
      </c>
      <c r="K88" s="25" cm="1">
        <f t="array" aca="1" ref="K88" ca="1">INDIRECT("Sheet2!L" &amp; 10 + (ROW(K41)-ROW($C$4))*7)</f>
        <v>0</v>
      </c>
      <c r="L88" s="25" cm="1">
        <f t="array" aca="1" ref="L88" ca="1">INDIRECT("Sheet2!M" &amp; 10 + (ROW(L41)-ROW($C$4))*7)</f>
        <v>0</v>
      </c>
      <c r="M88" s="25" cm="1">
        <f t="array" aca="1" ref="M88" ca="1">INDIRECT("Sheet2!N" &amp; 10 + (ROW(M41)-ROW($C$4))*7)</f>
        <v>0</v>
      </c>
      <c r="N88" s="25" cm="1">
        <f t="array" aca="1" ref="N88" ca="1">INDIRECT("Sheet2!o" &amp; 10 + (ROW(N41)-ROW($C$4))*7)</f>
        <v>0</v>
      </c>
      <c r="O88" s="25" cm="1">
        <f t="array" aca="1" ref="O88" ca="1">INDIRECT("Sheet2!p" &amp; 10 + (ROW(O41)-ROW($C$4))*7)</f>
        <v>0</v>
      </c>
    </row>
    <row r="89" spans="2:15" x14ac:dyDescent="0.25">
      <c r="B89" t="s">
        <v>43</v>
      </c>
      <c r="C89">
        <f ca="1">SUM(C51:C88)</f>
        <v>0</v>
      </c>
      <c r="D89">
        <f t="shared" ref="D89:I89" ca="1" si="2">SUM(D51:D88)</f>
        <v>0</v>
      </c>
      <c r="E89">
        <f ca="1">SUM(E51:E88)</f>
        <v>0</v>
      </c>
      <c r="F89">
        <f t="shared" ca="1" si="2"/>
        <v>0</v>
      </c>
      <c r="G89">
        <f t="shared" ca="1" si="2"/>
        <v>0</v>
      </c>
      <c r="H89">
        <f t="shared" ca="1" si="2"/>
        <v>0</v>
      </c>
      <c r="I89">
        <f t="shared" ca="1" si="2"/>
        <v>0</v>
      </c>
      <c r="J89">
        <f ca="1">SUM(J51:J88)</f>
        <v>0</v>
      </c>
      <c r="K89">
        <f t="shared" ref="K89" ca="1" si="3">SUM(K51:K88)</f>
        <v>0</v>
      </c>
      <c r="L89">
        <f ca="1">SUM(L51:L88)</f>
        <v>0</v>
      </c>
      <c r="M89">
        <f t="shared" ref="M89:N89" ca="1" si="4">SUM(M51:M88)</f>
        <v>0</v>
      </c>
      <c r="N89">
        <f t="shared" ca="1" si="4"/>
        <v>0</v>
      </c>
      <c r="O89">
        <f ca="1">SUM(O51:O88)</f>
        <v>0</v>
      </c>
    </row>
    <row r="93" spans="2:15" x14ac:dyDescent="0.25">
      <c r="B93" t="s">
        <v>98</v>
      </c>
    </row>
    <row r="94" spans="2:15" x14ac:dyDescent="0.25">
      <c r="C94" t="s">
        <v>0</v>
      </c>
      <c r="D94" t="s">
        <v>108</v>
      </c>
      <c r="E94" t="s">
        <v>3</v>
      </c>
      <c r="F94" t="s">
        <v>115</v>
      </c>
      <c r="G94" t="s">
        <v>53</v>
      </c>
      <c r="H94" t="s">
        <v>109</v>
      </c>
      <c r="I94" t="s">
        <v>2</v>
      </c>
      <c r="J94" t="s">
        <v>5</v>
      </c>
      <c r="K94" t="s">
        <v>54</v>
      </c>
      <c r="L94" t="s">
        <v>114</v>
      </c>
      <c r="M94" t="s">
        <v>112</v>
      </c>
      <c r="N94" t="s">
        <v>110</v>
      </c>
      <c r="O94" t="s">
        <v>116</v>
      </c>
    </row>
    <row r="95" spans="2:15" x14ac:dyDescent="0.25">
      <c r="C95" cm="1">
        <f t="array" aca="1" ref="C95" ca="1">INDIRECT("Sheet2!S" &amp; 10 + (ROW(C4)-ROW($C$4))*7)</f>
        <v>0</v>
      </c>
      <c r="D95" cm="1">
        <f t="array" aca="1" ref="D95" ca="1">INDIRECT("Sheet2!T" &amp; 10 + (ROW(D4)-ROW($C$4))*7)</f>
        <v>0</v>
      </c>
      <c r="E95" cm="1">
        <f t="array" aca="1" ref="E95" ca="1">INDIRECT("Sheet2!U" &amp; 10 + (ROW(E4)-ROW($C$4))*7)</f>
        <v>0</v>
      </c>
      <c r="F95" cm="1">
        <f t="array" aca="1" ref="F95" ca="1">INDIRECT("Sheet2!V" &amp; 10 + (ROW(F4)-ROW($C$4))*7)</f>
        <v>0</v>
      </c>
      <c r="G95" cm="1">
        <f t="array" aca="1" ref="G95" ca="1">INDIRECT("Sheet2!W" &amp; 10 + (ROW(G4)-ROW($C$4))*7)</f>
        <v>0</v>
      </c>
      <c r="H95" cm="1">
        <f t="array" aca="1" ref="H95" ca="1">INDIRECT("Sheet2!X" &amp; 10 + (ROW(H4)-ROW($C$4))*7)</f>
        <v>0</v>
      </c>
      <c r="I95" cm="1">
        <f t="array" aca="1" ref="I95" ca="1">INDIRECT("Sheet2!Y" &amp; 10 + (ROW(I4)-ROW($C$4))*7)</f>
        <v>0</v>
      </c>
      <c r="J95" cm="1">
        <f t="array" aca="1" ref="J95" ca="1">INDIRECT("Sheet2!Z" &amp; 10 + (ROW(J4)-ROW($C$4))*7)</f>
        <v>0</v>
      </c>
      <c r="K95" cm="1">
        <f t="array" aca="1" ref="K95" ca="1">INDIRECT("Sheet2!AA" &amp; 10 + (ROW(K4)-ROW($C$4))*7)</f>
        <v>0</v>
      </c>
      <c r="L95" cm="1">
        <f t="array" aca="1" ref="L95" ca="1">INDIRECT("Sheet2!AB" &amp; 10 + (ROW(L4)-ROW($C$4))*7)</f>
        <v>0</v>
      </c>
      <c r="M95" cm="1">
        <f t="array" aca="1" ref="M95" ca="1">INDIRECT("Sheet2!AC" &amp; 10 + (ROW(M4)-ROW($C$4))*7)</f>
        <v>0</v>
      </c>
      <c r="N95" cm="1">
        <f t="array" aca="1" ref="N95" ca="1">INDIRECT("Sheet2!AD" &amp; 10 + (ROW(N4)-ROW($C$4))*7)</f>
        <v>0</v>
      </c>
      <c r="O95" cm="1">
        <f t="array" aca="1" ref="O95" ca="1">INDIRECT("Sheet2!AE" &amp; 10 + (ROW(O4)-ROW($C$4))*7)</f>
        <v>0</v>
      </c>
    </row>
    <row r="96" spans="2:15" x14ac:dyDescent="0.25">
      <c r="C96" cm="1">
        <f t="array" aca="1" ref="C96" ca="1">INDIRECT("Sheet2!S" &amp; 10 + (ROW(C5)-ROW($C$4))*7)</f>
        <v>0</v>
      </c>
      <c r="D96" cm="1">
        <f t="array" aca="1" ref="D96" ca="1">INDIRECT("Sheet2!T" &amp; 10 + (ROW(D5)-ROW($C$4))*7)</f>
        <v>0</v>
      </c>
      <c r="E96" cm="1">
        <f t="array" aca="1" ref="E96" ca="1">INDIRECT("Sheet2!U" &amp; 10 + (ROW(E5)-ROW($C$4))*7)</f>
        <v>0</v>
      </c>
      <c r="F96" cm="1">
        <f t="array" aca="1" ref="F96" ca="1">INDIRECT("Sheet2!V" &amp; 10 + (ROW(F5)-ROW($C$4))*7)</f>
        <v>0</v>
      </c>
      <c r="G96" cm="1">
        <f t="array" aca="1" ref="G96" ca="1">INDIRECT("Sheet2!W" &amp; 10 + (ROW(G5)-ROW($C$4))*7)</f>
        <v>0</v>
      </c>
      <c r="H96" cm="1">
        <f t="array" aca="1" ref="H96" ca="1">INDIRECT("Sheet2!X" &amp; 10 + (ROW(H5)-ROW($C$4))*7)</f>
        <v>0</v>
      </c>
      <c r="I96" cm="1">
        <f t="array" aca="1" ref="I96" ca="1">INDIRECT("Sheet2!Y" &amp; 10 + (ROW(I5)-ROW($C$4))*7)</f>
        <v>0</v>
      </c>
      <c r="J96" cm="1">
        <f t="array" aca="1" ref="J96" ca="1">INDIRECT("Sheet2!Z" &amp; 10 + (ROW(J5)-ROW($C$4))*7)</f>
        <v>0</v>
      </c>
      <c r="K96" cm="1">
        <f t="array" aca="1" ref="K96" ca="1">INDIRECT("Sheet2!AA" &amp; 10 + (ROW(K5)-ROW($C$4))*7)</f>
        <v>0</v>
      </c>
      <c r="L96" cm="1">
        <f t="array" aca="1" ref="L96" ca="1">INDIRECT("Sheet2!AB" &amp; 10 + (ROW(L5)-ROW($C$4))*7)</f>
        <v>0</v>
      </c>
      <c r="M96" cm="1">
        <f t="array" aca="1" ref="M96" ca="1">INDIRECT("Sheet2!AC" &amp; 10 + (ROW(M5)-ROW($C$4))*7)</f>
        <v>0</v>
      </c>
      <c r="N96" cm="1">
        <f t="array" aca="1" ref="N96" ca="1">INDIRECT("Sheet2!AD" &amp; 10 + (ROW(N5)-ROW($C$4))*7)</f>
        <v>0</v>
      </c>
      <c r="O96" cm="1">
        <f t="array" aca="1" ref="O96" ca="1">INDIRECT("Sheet2!AE" &amp; 10 + (ROW(O5)-ROW($C$4))*7)</f>
        <v>0</v>
      </c>
    </row>
    <row r="97" spans="3:15" x14ac:dyDescent="0.25">
      <c r="C97" cm="1">
        <f t="array" aca="1" ref="C97" ca="1">INDIRECT("Sheet2!S" &amp; 10 + (ROW(C6)-ROW($C$4))*7)</f>
        <v>0</v>
      </c>
      <c r="D97" cm="1">
        <f t="array" aca="1" ref="D97" ca="1">INDIRECT("Sheet2!T" &amp; 10 + (ROW(D6)-ROW($C$4))*7)</f>
        <v>0</v>
      </c>
      <c r="E97" cm="1">
        <f t="array" aca="1" ref="E97" ca="1">INDIRECT("Sheet2!U" &amp; 10 + (ROW(E6)-ROW($C$4))*7)</f>
        <v>0</v>
      </c>
      <c r="F97" cm="1">
        <f t="array" aca="1" ref="F97" ca="1">INDIRECT("Sheet2!V" &amp; 10 + (ROW(F6)-ROW($C$4))*7)</f>
        <v>0</v>
      </c>
      <c r="G97" cm="1">
        <f t="array" aca="1" ref="G97" ca="1">INDIRECT("Sheet2!W" &amp; 10 + (ROW(G6)-ROW($C$4))*7)</f>
        <v>0</v>
      </c>
      <c r="H97" cm="1">
        <f t="array" aca="1" ref="H97" ca="1">INDIRECT("Sheet2!X" &amp; 10 + (ROW(H6)-ROW($C$4))*7)</f>
        <v>0</v>
      </c>
      <c r="I97" cm="1">
        <f t="array" aca="1" ref="I97" ca="1">INDIRECT("Sheet2!Y" &amp; 10 + (ROW(I6)-ROW($C$4))*7)</f>
        <v>0</v>
      </c>
      <c r="J97" cm="1">
        <f t="array" aca="1" ref="J97" ca="1">INDIRECT("Sheet2!Z" &amp; 10 + (ROW(J6)-ROW($C$4))*7)</f>
        <v>0</v>
      </c>
      <c r="K97" cm="1">
        <f t="array" aca="1" ref="K97" ca="1">INDIRECT("Sheet2!AA" &amp; 10 + (ROW(K6)-ROW($C$4))*7)</f>
        <v>0</v>
      </c>
      <c r="L97" cm="1">
        <f t="array" aca="1" ref="L97" ca="1">INDIRECT("Sheet2!AB" &amp; 10 + (ROW(L6)-ROW($C$4))*7)</f>
        <v>0</v>
      </c>
      <c r="M97" cm="1">
        <f t="array" aca="1" ref="M97" ca="1">INDIRECT("Sheet2!AC" &amp; 10 + (ROW(M6)-ROW($C$4))*7)</f>
        <v>0</v>
      </c>
      <c r="N97" cm="1">
        <f t="array" aca="1" ref="N97" ca="1">INDIRECT("Sheet2!AD" &amp; 10 + (ROW(N6)-ROW($C$4))*7)</f>
        <v>0</v>
      </c>
      <c r="O97" cm="1">
        <f t="array" aca="1" ref="O97" ca="1">INDIRECT("Sheet2!AE" &amp; 10 + (ROW(O6)-ROW($C$4))*7)</f>
        <v>0</v>
      </c>
    </row>
    <row r="98" spans="3:15" x14ac:dyDescent="0.25">
      <c r="C98" cm="1">
        <f t="array" aca="1" ref="C98" ca="1">INDIRECT("Sheet2!S" &amp; 10 + (ROW(C7)-ROW($C$4))*7)</f>
        <v>0</v>
      </c>
      <c r="D98" cm="1">
        <f t="array" aca="1" ref="D98" ca="1">INDIRECT("Sheet2!T" &amp; 10 + (ROW(D7)-ROW($C$4))*7)</f>
        <v>0</v>
      </c>
      <c r="E98" cm="1">
        <f t="array" aca="1" ref="E98" ca="1">INDIRECT("Sheet2!U" &amp; 10 + (ROW(E7)-ROW($C$4))*7)</f>
        <v>0</v>
      </c>
      <c r="F98" cm="1">
        <f t="array" aca="1" ref="F98" ca="1">INDIRECT("Sheet2!V" &amp; 10 + (ROW(F7)-ROW($C$4))*7)</f>
        <v>0</v>
      </c>
      <c r="G98" cm="1">
        <f t="array" aca="1" ref="G98" ca="1">INDIRECT("Sheet2!W" &amp; 10 + (ROW(G7)-ROW($C$4))*7)</f>
        <v>0</v>
      </c>
      <c r="H98" cm="1">
        <f t="array" aca="1" ref="H98" ca="1">INDIRECT("Sheet2!X" &amp; 10 + (ROW(H7)-ROW($C$4))*7)</f>
        <v>0</v>
      </c>
      <c r="I98" cm="1">
        <f t="array" aca="1" ref="I98" ca="1">INDIRECT("Sheet2!Y" &amp; 10 + (ROW(I7)-ROW($C$4))*7)</f>
        <v>0</v>
      </c>
      <c r="J98" cm="1">
        <f t="array" aca="1" ref="J98" ca="1">INDIRECT("Sheet2!Z" &amp; 10 + (ROW(J7)-ROW($C$4))*7)</f>
        <v>0</v>
      </c>
      <c r="K98" cm="1">
        <f t="array" aca="1" ref="K98" ca="1">INDIRECT("Sheet2!AA" &amp; 10 + (ROW(K7)-ROW($C$4))*7)</f>
        <v>0</v>
      </c>
      <c r="L98" cm="1">
        <f t="array" aca="1" ref="L98" ca="1">INDIRECT("Sheet2!AB" &amp; 10 + (ROW(L7)-ROW($C$4))*7)</f>
        <v>0</v>
      </c>
      <c r="M98" cm="1">
        <f t="array" aca="1" ref="M98" ca="1">INDIRECT("Sheet2!AC" &amp; 10 + (ROW(M7)-ROW($C$4))*7)</f>
        <v>0</v>
      </c>
      <c r="N98" cm="1">
        <f t="array" aca="1" ref="N98" ca="1">INDIRECT("Sheet2!AD" &amp; 10 + (ROW(N7)-ROW($C$4))*7)</f>
        <v>0</v>
      </c>
      <c r="O98" cm="1">
        <f t="array" aca="1" ref="O98" ca="1">INDIRECT("Sheet2!AE" &amp; 10 + (ROW(O7)-ROW($C$4))*7)</f>
        <v>0</v>
      </c>
    </row>
    <row r="99" spans="3:15" x14ac:dyDescent="0.25">
      <c r="C99" cm="1">
        <f t="array" aca="1" ref="C99" ca="1">INDIRECT("Sheet2!S" &amp; 10 + (ROW(C8)-ROW($C$4))*7)</f>
        <v>0</v>
      </c>
      <c r="D99" cm="1">
        <f t="array" aca="1" ref="D99" ca="1">INDIRECT("Sheet2!T" &amp; 10 + (ROW(D8)-ROW($C$4))*7)</f>
        <v>0</v>
      </c>
      <c r="E99" cm="1">
        <f t="array" aca="1" ref="E99" ca="1">INDIRECT("Sheet2!U" &amp; 10 + (ROW(E8)-ROW($C$4))*7)</f>
        <v>0</v>
      </c>
      <c r="F99" cm="1">
        <f t="array" aca="1" ref="F99" ca="1">INDIRECT("Sheet2!V" &amp; 10 + (ROW(F8)-ROW($C$4))*7)</f>
        <v>0</v>
      </c>
      <c r="G99" cm="1">
        <f t="array" aca="1" ref="G99" ca="1">INDIRECT("Sheet2!W" &amp; 10 + (ROW(G8)-ROW($C$4))*7)</f>
        <v>0</v>
      </c>
      <c r="H99" cm="1">
        <f t="array" aca="1" ref="H99" ca="1">INDIRECT("Sheet2!X" &amp; 10 + (ROW(H8)-ROW($C$4))*7)</f>
        <v>0</v>
      </c>
      <c r="I99" cm="1">
        <f t="array" aca="1" ref="I99" ca="1">INDIRECT("Sheet2!Y" &amp; 10 + (ROW(I8)-ROW($C$4))*7)</f>
        <v>0</v>
      </c>
      <c r="J99" cm="1">
        <f t="array" aca="1" ref="J99" ca="1">INDIRECT("Sheet2!Z" &amp; 10 + (ROW(J8)-ROW($C$4))*7)</f>
        <v>0</v>
      </c>
      <c r="K99" cm="1">
        <f t="array" aca="1" ref="K99" ca="1">INDIRECT("Sheet2!AA" &amp; 10 + (ROW(K8)-ROW($C$4))*7)</f>
        <v>0</v>
      </c>
      <c r="L99" cm="1">
        <f t="array" aca="1" ref="L99" ca="1">INDIRECT("Sheet2!AB" &amp; 10 + (ROW(L8)-ROW($C$4))*7)</f>
        <v>0</v>
      </c>
      <c r="M99" cm="1">
        <f t="array" aca="1" ref="M99" ca="1">INDIRECT("Sheet2!AC" &amp; 10 + (ROW(M8)-ROW($C$4))*7)</f>
        <v>0</v>
      </c>
      <c r="N99" cm="1">
        <f t="array" aca="1" ref="N99" ca="1">INDIRECT("Sheet2!AD" &amp; 10 + (ROW(N8)-ROW($C$4))*7)</f>
        <v>0</v>
      </c>
      <c r="O99" cm="1">
        <f t="array" aca="1" ref="O99" ca="1">INDIRECT("Sheet2!AE" &amp; 10 + (ROW(O8)-ROW($C$4))*7)</f>
        <v>0</v>
      </c>
    </row>
    <row r="100" spans="3:15" x14ac:dyDescent="0.25">
      <c r="C100" cm="1">
        <f t="array" aca="1" ref="C100" ca="1">INDIRECT("Sheet2!S" &amp; 10 + (ROW(C9)-ROW($C$4))*7)</f>
        <v>0</v>
      </c>
      <c r="D100" cm="1">
        <f t="array" aca="1" ref="D100" ca="1">INDIRECT("Sheet2!T" &amp; 10 + (ROW(D9)-ROW($C$4))*7)</f>
        <v>0</v>
      </c>
      <c r="E100" cm="1">
        <f t="array" aca="1" ref="E100" ca="1">INDIRECT("Sheet2!U" &amp; 10 + (ROW(E9)-ROW($C$4))*7)</f>
        <v>0</v>
      </c>
      <c r="F100" cm="1">
        <f t="array" aca="1" ref="F100" ca="1">INDIRECT("Sheet2!V" &amp; 10 + (ROW(F9)-ROW($C$4))*7)</f>
        <v>0</v>
      </c>
      <c r="G100" cm="1">
        <f t="array" aca="1" ref="G100" ca="1">INDIRECT("Sheet2!W" &amp; 10 + (ROW(G9)-ROW($C$4))*7)</f>
        <v>0</v>
      </c>
      <c r="H100" cm="1">
        <f t="array" aca="1" ref="H100" ca="1">INDIRECT("Sheet2!X" &amp; 10 + (ROW(H9)-ROW($C$4))*7)</f>
        <v>0</v>
      </c>
      <c r="I100" cm="1">
        <f t="array" aca="1" ref="I100" ca="1">INDIRECT("Sheet2!Y" &amp; 10 + (ROW(I9)-ROW($C$4))*7)</f>
        <v>0</v>
      </c>
      <c r="J100" cm="1">
        <f t="array" aca="1" ref="J100" ca="1">INDIRECT("Sheet2!Z" &amp; 10 + (ROW(J9)-ROW($C$4))*7)</f>
        <v>0</v>
      </c>
      <c r="K100" cm="1">
        <f t="array" aca="1" ref="K100" ca="1">INDIRECT("Sheet2!AA" &amp; 10 + (ROW(K9)-ROW($C$4))*7)</f>
        <v>0</v>
      </c>
      <c r="L100" cm="1">
        <f t="array" aca="1" ref="L100" ca="1">INDIRECT("Sheet2!AB" &amp; 10 + (ROW(L9)-ROW($C$4))*7)</f>
        <v>0</v>
      </c>
      <c r="M100" cm="1">
        <f t="array" aca="1" ref="M100" ca="1">INDIRECT("Sheet2!AC" &amp; 10 + (ROW(M9)-ROW($C$4))*7)</f>
        <v>0</v>
      </c>
      <c r="N100" cm="1">
        <f t="array" aca="1" ref="N100" ca="1">INDIRECT("Sheet2!AD" &amp; 10 + (ROW(N9)-ROW($C$4))*7)</f>
        <v>0</v>
      </c>
      <c r="O100" cm="1">
        <f t="array" aca="1" ref="O100" ca="1">INDIRECT("Sheet2!AE" &amp; 10 + (ROW(O9)-ROW($C$4))*7)</f>
        <v>0</v>
      </c>
    </row>
    <row r="101" spans="3:15" x14ac:dyDescent="0.25">
      <c r="C101" cm="1">
        <f t="array" aca="1" ref="C101" ca="1">INDIRECT("Sheet2!S" &amp; 10 + (ROW(C10)-ROW($C$4))*7)</f>
        <v>0</v>
      </c>
      <c r="D101" cm="1">
        <f t="array" aca="1" ref="D101" ca="1">INDIRECT("Sheet2!T" &amp; 10 + (ROW(D10)-ROW($C$4))*7)</f>
        <v>0</v>
      </c>
      <c r="E101" cm="1">
        <f t="array" aca="1" ref="E101" ca="1">INDIRECT("Sheet2!U" &amp; 10 + (ROW(E10)-ROW($C$4))*7)</f>
        <v>0</v>
      </c>
      <c r="F101" cm="1">
        <f t="array" aca="1" ref="F101" ca="1">INDIRECT("Sheet2!V" &amp; 10 + (ROW(F10)-ROW($C$4))*7)</f>
        <v>0</v>
      </c>
      <c r="G101" cm="1">
        <f t="array" aca="1" ref="G101" ca="1">INDIRECT("Sheet2!W" &amp; 10 + (ROW(G10)-ROW($C$4))*7)</f>
        <v>0</v>
      </c>
      <c r="H101" cm="1">
        <f t="array" aca="1" ref="H101" ca="1">INDIRECT("Sheet2!X" &amp; 10 + (ROW(H10)-ROW($C$4))*7)</f>
        <v>0</v>
      </c>
      <c r="I101" cm="1">
        <f t="array" aca="1" ref="I101" ca="1">INDIRECT("Sheet2!Y" &amp; 10 + (ROW(I10)-ROW($C$4))*7)</f>
        <v>0</v>
      </c>
      <c r="J101" cm="1">
        <f t="array" aca="1" ref="J101" ca="1">INDIRECT("Sheet2!Z" &amp; 10 + (ROW(J10)-ROW($C$4))*7)</f>
        <v>0</v>
      </c>
      <c r="K101" cm="1">
        <f t="array" aca="1" ref="K101" ca="1">INDIRECT("Sheet2!AA" &amp; 10 + (ROW(K10)-ROW($C$4))*7)</f>
        <v>0</v>
      </c>
      <c r="L101" cm="1">
        <f t="array" aca="1" ref="L101" ca="1">INDIRECT("Sheet2!AB" &amp; 10 + (ROW(L10)-ROW($C$4))*7)</f>
        <v>0</v>
      </c>
      <c r="M101" cm="1">
        <f t="array" aca="1" ref="M101" ca="1">INDIRECT("Sheet2!AC" &amp; 10 + (ROW(M10)-ROW($C$4))*7)</f>
        <v>0</v>
      </c>
      <c r="N101" cm="1">
        <f t="array" aca="1" ref="N101" ca="1">INDIRECT("Sheet2!AD" &amp; 10 + (ROW(N10)-ROW($C$4))*7)</f>
        <v>0</v>
      </c>
      <c r="O101" cm="1">
        <f t="array" aca="1" ref="O101" ca="1">INDIRECT("Sheet2!AE" &amp; 10 + (ROW(O10)-ROW($C$4))*7)</f>
        <v>0</v>
      </c>
    </row>
    <row r="102" spans="3:15" x14ac:dyDescent="0.25">
      <c r="C102" cm="1">
        <f t="array" aca="1" ref="C102" ca="1">INDIRECT("Sheet2!S" &amp; 10 + (ROW(C11)-ROW($C$4))*7)</f>
        <v>0</v>
      </c>
      <c r="D102" cm="1">
        <f t="array" aca="1" ref="D102" ca="1">INDIRECT("Sheet2!T" &amp; 10 + (ROW(D11)-ROW($C$4))*7)</f>
        <v>0</v>
      </c>
      <c r="E102" cm="1">
        <f t="array" aca="1" ref="E102" ca="1">INDIRECT("Sheet2!U" &amp; 10 + (ROW(E11)-ROW($C$4))*7)</f>
        <v>0</v>
      </c>
      <c r="F102" cm="1">
        <f t="array" aca="1" ref="F102" ca="1">INDIRECT("Sheet2!V" &amp; 10 + (ROW(F11)-ROW($C$4))*7)</f>
        <v>0</v>
      </c>
      <c r="G102" cm="1">
        <f t="array" aca="1" ref="G102" ca="1">INDIRECT("Sheet2!W" &amp; 10 + (ROW(G11)-ROW($C$4))*7)</f>
        <v>0</v>
      </c>
      <c r="H102" cm="1">
        <f t="array" aca="1" ref="H102" ca="1">INDIRECT("Sheet2!X" &amp; 10 + (ROW(H11)-ROW($C$4))*7)</f>
        <v>0</v>
      </c>
      <c r="I102" cm="1">
        <f t="array" aca="1" ref="I102" ca="1">INDIRECT("Sheet2!Y" &amp; 10 + (ROW(I11)-ROW($C$4))*7)</f>
        <v>0</v>
      </c>
      <c r="J102" cm="1">
        <f t="array" aca="1" ref="J102" ca="1">INDIRECT("Sheet2!Z" &amp; 10 + (ROW(J11)-ROW($C$4))*7)</f>
        <v>0</v>
      </c>
      <c r="K102" cm="1">
        <f t="array" aca="1" ref="K102" ca="1">INDIRECT("Sheet2!AA" &amp; 10 + (ROW(K11)-ROW($C$4))*7)</f>
        <v>0</v>
      </c>
      <c r="L102" cm="1">
        <f t="array" aca="1" ref="L102" ca="1">INDIRECT("Sheet2!AB" &amp; 10 + (ROW(L11)-ROW($C$4))*7)</f>
        <v>0</v>
      </c>
      <c r="M102" cm="1">
        <f t="array" aca="1" ref="M102" ca="1">INDIRECT("Sheet2!AC" &amp; 10 + (ROW(M11)-ROW($C$4))*7)</f>
        <v>0</v>
      </c>
      <c r="N102" cm="1">
        <f t="array" aca="1" ref="N102" ca="1">INDIRECT("Sheet2!AD" &amp; 10 + (ROW(N11)-ROW($C$4))*7)</f>
        <v>0</v>
      </c>
      <c r="O102" cm="1">
        <f t="array" aca="1" ref="O102" ca="1">INDIRECT("Sheet2!AE" &amp; 10 + (ROW(O11)-ROW($C$4))*7)</f>
        <v>0</v>
      </c>
    </row>
    <row r="103" spans="3:15" x14ac:dyDescent="0.25">
      <c r="C103" cm="1">
        <f t="array" aca="1" ref="C103" ca="1">INDIRECT("Sheet2!S" &amp; 10 + (ROW(C12)-ROW($C$4))*7)</f>
        <v>0</v>
      </c>
      <c r="D103" cm="1">
        <f t="array" aca="1" ref="D103" ca="1">INDIRECT("Sheet2!T" &amp; 10 + (ROW(D12)-ROW($C$4))*7)</f>
        <v>0</v>
      </c>
      <c r="E103" cm="1">
        <f t="array" aca="1" ref="E103" ca="1">INDIRECT("Sheet2!U" &amp; 10 + (ROW(E12)-ROW($C$4))*7)</f>
        <v>0</v>
      </c>
      <c r="F103" cm="1">
        <f t="array" aca="1" ref="F103" ca="1">INDIRECT("Sheet2!V" &amp; 10 + (ROW(F12)-ROW($C$4))*7)</f>
        <v>0</v>
      </c>
      <c r="G103" cm="1">
        <f t="array" aca="1" ref="G103" ca="1">INDIRECT("Sheet2!W" &amp; 10 + (ROW(G12)-ROW($C$4))*7)</f>
        <v>0</v>
      </c>
      <c r="H103" cm="1">
        <f t="array" aca="1" ref="H103" ca="1">INDIRECT("Sheet2!X" &amp; 10 + (ROW(H12)-ROW($C$4))*7)</f>
        <v>0</v>
      </c>
      <c r="I103" cm="1">
        <f t="array" aca="1" ref="I103" ca="1">INDIRECT("Sheet2!Y" &amp; 10 + (ROW(I12)-ROW($C$4))*7)</f>
        <v>0</v>
      </c>
      <c r="J103" cm="1">
        <f t="array" aca="1" ref="J103" ca="1">INDIRECT("Sheet2!Z" &amp; 10 + (ROW(J12)-ROW($C$4))*7)</f>
        <v>0</v>
      </c>
      <c r="K103" cm="1">
        <f t="array" aca="1" ref="K103" ca="1">INDIRECT("Sheet2!AA" &amp; 10 + (ROW(K12)-ROW($C$4))*7)</f>
        <v>0</v>
      </c>
      <c r="L103" cm="1">
        <f t="array" aca="1" ref="L103" ca="1">INDIRECT("Sheet2!AB" &amp; 10 + (ROW(L12)-ROW($C$4))*7)</f>
        <v>0</v>
      </c>
      <c r="M103" cm="1">
        <f t="array" aca="1" ref="M103" ca="1">INDIRECT("Sheet2!AC" &amp; 10 + (ROW(M12)-ROW($C$4))*7)</f>
        <v>0</v>
      </c>
      <c r="N103" cm="1">
        <f t="array" aca="1" ref="N103" ca="1">INDIRECT("Sheet2!AD" &amp; 10 + (ROW(N12)-ROW($C$4))*7)</f>
        <v>0</v>
      </c>
      <c r="O103" cm="1">
        <f t="array" aca="1" ref="O103" ca="1">INDIRECT("Sheet2!AE" &amp; 10 + (ROW(O12)-ROW($C$4))*7)</f>
        <v>0</v>
      </c>
    </row>
    <row r="104" spans="3:15" x14ac:dyDescent="0.25">
      <c r="C104" cm="1">
        <f t="array" aca="1" ref="C104" ca="1">INDIRECT("Sheet2!S" &amp; 10 + (ROW(C13)-ROW($C$4))*7)</f>
        <v>0</v>
      </c>
      <c r="D104" cm="1">
        <f t="array" aca="1" ref="D104" ca="1">INDIRECT("Sheet2!T" &amp; 10 + (ROW(D13)-ROW($C$4))*7)</f>
        <v>0</v>
      </c>
      <c r="E104" cm="1">
        <f t="array" aca="1" ref="E104" ca="1">INDIRECT("Sheet2!U" &amp; 10 + (ROW(E13)-ROW($C$4))*7)</f>
        <v>0</v>
      </c>
      <c r="F104" cm="1">
        <f t="array" aca="1" ref="F104" ca="1">INDIRECT("Sheet2!V" &amp; 10 + (ROW(F13)-ROW($C$4))*7)</f>
        <v>0</v>
      </c>
      <c r="G104" cm="1">
        <f t="array" aca="1" ref="G104" ca="1">INDIRECT("Sheet2!W" &amp; 10 + (ROW(G13)-ROW($C$4))*7)</f>
        <v>0</v>
      </c>
      <c r="H104" cm="1">
        <f t="array" aca="1" ref="H104" ca="1">INDIRECT("Sheet2!X" &amp; 10 + (ROW(H13)-ROW($C$4))*7)</f>
        <v>0</v>
      </c>
      <c r="I104" cm="1">
        <f t="array" aca="1" ref="I104" ca="1">INDIRECT("Sheet2!Y" &amp; 10 + (ROW(I13)-ROW($C$4))*7)</f>
        <v>0</v>
      </c>
      <c r="J104" cm="1">
        <f t="array" aca="1" ref="J104" ca="1">INDIRECT("Sheet2!Z" &amp; 10 + (ROW(J13)-ROW($C$4))*7)</f>
        <v>0</v>
      </c>
      <c r="K104" cm="1">
        <f t="array" aca="1" ref="K104" ca="1">INDIRECT("Sheet2!AA" &amp; 10 + (ROW(K13)-ROW($C$4))*7)</f>
        <v>0</v>
      </c>
      <c r="L104" cm="1">
        <f t="array" aca="1" ref="L104" ca="1">INDIRECT("Sheet2!AB" &amp; 10 + (ROW(L13)-ROW($C$4))*7)</f>
        <v>0</v>
      </c>
      <c r="M104" cm="1">
        <f t="array" aca="1" ref="M104" ca="1">INDIRECT("Sheet2!AC" &amp; 10 + (ROW(M13)-ROW($C$4))*7)</f>
        <v>0</v>
      </c>
      <c r="N104" cm="1">
        <f t="array" aca="1" ref="N104" ca="1">INDIRECT("Sheet2!AD" &amp; 10 + (ROW(N13)-ROW($C$4))*7)</f>
        <v>0</v>
      </c>
      <c r="O104" cm="1">
        <f t="array" aca="1" ref="O104" ca="1">INDIRECT("Sheet2!AE" &amp; 10 + (ROW(O13)-ROW($C$4))*7)</f>
        <v>0</v>
      </c>
    </row>
    <row r="105" spans="3:15" x14ac:dyDescent="0.25">
      <c r="C105" cm="1">
        <f t="array" aca="1" ref="C105" ca="1">INDIRECT("Sheet2!S" &amp; 10 + (ROW(C14)-ROW($C$4))*7)</f>
        <v>0</v>
      </c>
      <c r="D105" cm="1">
        <f t="array" aca="1" ref="D105" ca="1">INDIRECT("Sheet2!T" &amp; 10 + (ROW(D14)-ROW($C$4))*7)</f>
        <v>0</v>
      </c>
      <c r="E105" cm="1">
        <f t="array" aca="1" ref="E105" ca="1">INDIRECT("Sheet2!U" &amp; 10 + (ROW(E14)-ROW($C$4))*7)</f>
        <v>0</v>
      </c>
      <c r="F105" cm="1">
        <f t="array" aca="1" ref="F105" ca="1">INDIRECT("Sheet2!V" &amp; 10 + (ROW(F14)-ROW($C$4))*7)</f>
        <v>0</v>
      </c>
      <c r="G105" cm="1">
        <f t="array" aca="1" ref="G105" ca="1">INDIRECT("Sheet2!W" &amp; 10 + (ROW(G14)-ROW($C$4))*7)</f>
        <v>0</v>
      </c>
      <c r="H105" cm="1">
        <f t="array" aca="1" ref="H105" ca="1">INDIRECT("Sheet2!X" &amp; 10 + (ROW(H14)-ROW($C$4))*7)</f>
        <v>0</v>
      </c>
      <c r="I105" cm="1">
        <f t="array" aca="1" ref="I105" ca="1">INDIRECT("Sheet2!Y" &amp; 10 + (ROW(I14)-ROW($C$4))*7)</f>
        <v>0</v>
      </c>
      <c r="J105" cm="1">
        <f t="array" aca="1" ref="J105" ca="1">INDIRECT("Sheet2!Z" &amp; 10 + (ROW(J14)-ROW($C$4))*7)</f>
        <v>0</v>
      </c>
      <c r="K105" cm="1">
        <f t="array" aca="1" ref="K105" ca="1">INDIRECT("Sheet2!AA" &amp; 10 + (ROW(K14)-ROW($C$4))*7)</f>
        <v>0</v>
      </c>
      <c r="L105" cm="1">
        <f t="array" aca="1" ref="L105" ca="1">INDIRECT("Sheet2!AB" &amp; 10 + (ROW(L14)-ROW($C$4))*7)</f>
        <v>0</v>
      </c>
      <c r="M105" cm="1">
        <f t="array" aca="1" ref="M105" ca="1">INDIRECT("Sheet2!AC" &amp; 10 + (ROW(M14)-ROW($C$4))*7)</f>
        <v>0</v>
      </c>
      <c r="N105" cm="1">
        <f t="array" aca="1" ref="N105" ca="1">INDIRECT("Sheet2!AD" &amp; 10 + (ROW(N14)-ROW($C$4))*7)</f>
        <v>0</v>
      </c>
      <c r="O105" cm="1">
        <f t="array" aca="1" ref="O105" ca="1">INDIRECT("Sheet2!AE" &amp; 10 + (ROW(O14)-ROW($C$4))*7)</f>
        <v>0</v>
      </c>
    </row>
    <row r="106" spans="3:15" x14ac:dyDescent="0.25">
      <c r="C106" cm="1">
        <f t="array" aca="1" ref="C106" ca="1">INDIRECT("Sheet2!S" &amp; 10 + (ROW(C15)-ROW($C$4))*7)</f>
        <v>0</v>
      </c>
      <c r="D106" cm="1">
        <f t="array" aca="1" ref="D106" ca="1">INDIRECT("Sheet2!T" &amp; 10 + (ROW(D15)-ROW($C$4))*7)</f>
        <v>0</v>
      </c>
      <c r="E106" cm="1">
        <f t="array" aca="1" ref="E106" ca="1">INDIRECT("Sheet2!U" &amp; 10 + (ROW(E15)-ROW($C$4))*7)</f>
        <v>0</v>
      </c>
      <c r="F106" cm="1">
        <f t="array" aca="1" ref="F106" ca="1">INDIRECT("Sheet2!V" &amp; 10 + (ROW(F15)-ROW($C$4))*7)</f>
        <v>0</v>
      </c>
      <c r="G106" cm="1">
        <f t="array" aca="1" ref="G106" ca="1">INDIRECT("Sheet2!W" &amp; 10 + (ROW(G15)-ROW($C$4))*7)</f>
        <v>0</v>
      </c>
      <c r="H106" cm="1">
        <f t="array" aca="1" ref="H106" ca="1">INDIRECT("Sheet2!X" &amp; 10 + (ROW(H15)-ROW($C$4))*7)</f>
        <v>0</v>
      </c>
      <c r="I106" cm="1">
        <f t="array" aca="1" ref="I106" ca="1">INDIRECT("Sheet2!Y" &amp; 10 + (ROW(I15)-ROW($C$4))*7)</f>
        <v>0</v>
      </c>
      <c r="J106" cm="1">
        <f t="array" aca="1" ref="J106" ca="1">INDIRECT("Sheet2!Z" &amp; 10 + (ROW(J15)-ROW($C$4))*7)</f>
        <v>0</v>
      </c>
      <c r="K106" cm="1">
        <f t="array" aca="1" ref="K106" ca="1">INDIRECT("Sheet2!AA" &amp; 10 + (ROW(K15)-ROW($C$4))*7)</f>
        <v>0</v>
      </c>
      <c r="L106" cm="1">
        <f t="array" aca="1" ref="L106" ca="1">INDIRECT("Sheet2!AB" &amp; 10 + (ROW(L15)-ROW($C$4))*7)</f>
        <v>0</v>
      </c>
      <c r="M106" cm="1">
        <f t="array" aca="1" ref="M106" ca="1">INDIRECT("Sheet2!AC" &amp; 10 + (ROW(M15)-ROW($C$4))*7)</f>
        <v>0</v>
      </c>
      <c r="N106" cm="1">
        <f t="array" aca="1" ref="N106" ca="1">INDIRECT("Sheet2!AD" &amp; 10 + (ROW(N15)-ROW($C$4))*7)</f>
        <v>0</v>
      </c>
      <c r="O106" cm="1">
        <f t="array" aca="1" ref="O106" ca="1">INDIRECT("Sheet2!AE" &amp; 10 + (ROW(O15)-ROW($C$4))*7)</f>
        <v>0</v>
      </c>
    </row>
    <row r="107" spans="3:15" x14ac:dyDescent="0.25">
      <c r="C107" cm="1">
        <f t="array" aca="1" ref="C107" ca="1">INDIRECT("Sheet2!S" &amp; 10 + (ROW(C16)-ROW($C$4))*7)</f>
        <v>0</v>
      </c>
      <c r="D107" cm="1">
        <f t="array" aca="1" ref="D107" ca="1">INDIRECT("Sheet2!T" &amp; 10 + (ROW(D16)-ROW($C$4))*7)</f>
        <v>0</v>
      </c>
      <c r="E107" cm="1">
        <f t="array" aca="1" ref="E107" ca="1">INDIRECT("Sheet2!U" &amp; 10 + (ROW(E16)-ROW($C$4))*7)</f>
        <v>0</v>
      </c>
      <c r="F107" cm="1">
        <f t="array" aca="1" ref="F107" ca="1">INDIRECT("Sheet2!V" &amp; 10 + (ROW(F16)-ROW($C$4))*7)</f>
        <v>0</v>
      </c>
      <c r="G107" cm="1">
        <f t="array" aca="1" ref="G107" ca="1">INDIRECT("Sheet2!W" &amp; 10 + (ROW(G16)-ROW($C$4))*7)</f>
        <v>0</v>
      </c>
      <c r="H107" cm="1">
        <f t="array" aca="1" ref="H107" ca="1">INDIRECT("Sheet2!X" &amp; 10 + (ROW(H16)-ROW($C$4))*7)</f>
        <v>0</v>
      </c>
      <c r="I107" cm="1">
        <f t="array" aca="1" ref="I107" ca="1">INDIRECT("Sheet2!Y" &amp; 10 + (ROW(I16)-ROW($C$4))*7)</f>
        <v>0</v>
      </c>
      <c r="J107" cm="1">
        <f t="array" aca="1" ref="J107" ca="1">INDIRECT("Sheet2!Z" &amp; 10 + (ROW(J16)-ROW($C$4))*7)</f>
        <v>0</v>
      </c>
      <c r="K107" cm="1">
        <f t="array" aca="1" ref="K107" ca="1">INDIRECT("Sheet2!AA" &amp; 10 + (ROW(K16)-ROW($C$4))*7)</f>
        <v>0</v>
      </c>
      <c r="L107" cm="1">
        <f t="array" aca="1" ref="L107" ca="1">INDIRECT("Sheet2!AB" &amp; 10 + (ROW(L16)-ROW($C$4))*7)</f>
        <v>0</v>
      </c>
      <c r="M107" cm="1">
        <f t="array" aca="1" ref="M107" ca="1">INDIRECT("Sheet2!AC" &amp; 10 + (ROW(M16)-ROW($C$4))*7)</f>
        <v>0</v>
      </c>
      <c r="N107" cm="1">
        <f t="array" aca="1" ref="N107" ca="1">INDIRECT("Sheet2!AD" &amp; 10 + (ROW(N16)-ROW($C$4))*7)</f>
        <v>0</v>
      </c>
      <c r="O107" cm="1">
        <f t="array" aca="1" ref="O107" ca="1">INDIRECT("Sheet2!AE" &amp; 10 + (ROW(O16)-ROW($C$4))*7)</f>
        <v>0</v>
      </c>
    </row>
    <row r="108" spans="3:15" x14ac:dyDescent="0.25">
      <c r="C108" cm="1">
        <f t="array" aca="1" ref="C108" ca="1">INDIRECT("Sheet2!S" &amp; 10 + (ROW(C17)-ROW($C$4))*7)</f>
        <v>0</v>
      </c>
      <c r="D108" cm="1">
        <f t="array" aca="1" ref="D108" ca="1">INDIRECT("Sheet2!T" &amp; 10 + (ROW(D17)-ROW($C$4))*7)</f>
        <v>0</v>
      </c>
      <c r="E108" cm="1">
        <f t="array" aca="1" ref="E108" ca="1">INDIRECT("Sheet2!U" &amp; 10 + (ROW(E17)-ROW($C$4))*7)</f>
        <v>0</v>
      </c>
      <c r="F108" cm="1">
        <f t="array" aca="1" ref="F108" ca="1">INDIRECT("Sheet2!V" &amp; 10 + (ROW(F17)-ROW($C$4))*7)</f>
        <v>0</v>
      </c>
      <c r="G108" cm="1">
        <f t="array" aca="1" ref="G108" ca="1">INDIRECT("Sheet2!W" &amp; 10 + (ROW(G17)-ROW($C$4))*7)</f>
        <v>0</v>
      </c>
      <c r="H108" cm="1">
        <f t="array" aca="1" ref="H108" ca="1">INDIRECT("Sheet2!X" &amp; 10 + (ROW(H17)-ROW($C$4))*7)</f>
        <v>0</v>
      </c>
      <c r="I108" cm="1">
        <f t="array" aca="1" ref="I108" ca="1">INDIRECT("Sheet2!Y" &amp; 10 + (ROW(I17)-ROW($C$4))*7)</f>
        <v>0</v>
      </c>
      <c r="J108" cm="1">
        <f t="array" aca="1" ref="J108" ca="1">INDIRECT("Sheet2!Z" &amp; 10 + (ROW(J17)-ROW($C$4))*7)</f>
        <v>0</v>
      </c>
      <c r="K108" cm="1">
        <f t="array" aca="1" ref="K108" ca="1">INDIRECT("Sheet2!AA" &amp; 10 + (ROW(K17)-ROW($C$4))*7)</f>
        <v>0</v>
      </c>
      <c r="L108" cm="1">
        <f t="array" aca="1" ref="L108" ca="1">INDIRECT("Sheet2!AB" &amp; 10 + (ROW(L17)-ROW($C$4))*7)</f>
        <v>0</v>
      </c>
      <c r="M108" cm="1">
        <f t="array" aca="1" ref="M108" ca="1">INDIRECT("Sheet2!AC" &amp; 10 + (ROW(M17)-ROW($C$4))*7)</f>
        <v>0</v>
      </c>
      <c r="N108" cm="1">
        <f t="array" aca="1" ref="N108" ca="1">INDIRECT("Sheet2!AD" &amp; 10 + (ROW(N17)-ROW($C$4))*7)</f>
        <v>0</v>
      </c>
      <c r="O108" cm="1">
        <f t="array" aca="1" ref="O108" ca="1">INDIRECT("Sheet2!AE" &amp; 10 + (ROW(O17)-ROW($C$4))*7)</f>
        <v>0</v>
      </c>
    </row>
    <row r="109" spans="3:15" x14ac:dyDescent="0.25">
      <c r="C109" cm="1">
        <f t="array" aca="1" ref="C109" ca="1">INDIRECT("Sheet2!S" &amp; 10 + (ROW(C18)-ROW($C$4))*7)</f>
        <v>0</v>
      </c>
      <c r="D109" cm="1">
        <f t="array" aca="1" ref="D109" ca="1">INDIRECT("Sheet2!T" &amp; 10 + (ROW(D18)-ROW($C$4))*7)</f>
        <v>0</v>
      </c>
      <c r="E109" cm="1">
        <f t="array" aca="1" ref="E109" ca="1">INDIRECT("Sheet2!U" &amp; 10 + (ROW(E18)-ROW($C$4))*7)</f>
        <v>0</v>
      </c>
      <c r="F109" cm="1">
        <f t="array" aca="1" ref="F109" ca="1">INDIRECT("Sheet2!V" &amp; 10 + (ROW(F18)-ROW($C$4))*7)</f>
        <v>0</v>
      </c>
      <c r="G109" cm="1">
        <f t="array" aca="1" ref="G109" ca="1">INDIRECT("Sheet2!W" &amp; 10 + (ROW(G18)-ROW($C$4))*7)</f>
        <v>0</v>
      </c>
      <c r="H109" cm="1">
        <f t="array" aca="1" ref="H109" ca="1">INDIRECT("Sheet2!X" &amp; 10 + (ROW(H18)-ROW($C$4))*7)</f>
        <v>0</v>
      </c>
      <c r="I109" cm="1">
        <f t="array" aca="1" ref="I109" ca="1">INDIRECT("Sheet2!Y" &amp; 10 + (ROW(I18)-ROW($C$4))*7)</f>
        <v>0</v>
      </c>
      <c r="J109" cm="1">
        <f t="array" aca="1" ref="J109" ca="1">INDIRECT("Sheet2!Z" &amp; 10 + (ROW(J18)-ROW($C$4))*7)</f>
        <v>0</v>
      </c>
      <c r="K109" cm="1">
        <f t="array" aca="1" ref="K109" ca="1">INDIRECT("Sheet2!AA" &amp; 10 + (ROW(K18)-ROW($C$4))*7)</f>
        <v>0</v>
      </c>
      <c r="L109" cm="1">
        <f t="array" aca="1" ref="L109" ca="1">INDIRECT("Sheet2!AB" &amp; 10 + (ROW(L18)-ROW($C$4))*7)</f>
        <v>0</v>
      </c>
      <c r="M109" cm="1">
        <f t="array" aca="1" ref="M109" ca="1">INDIRECT("Sheet2!AC" &amp; 10 + (ROW(M18)-ROW($C$4))*7)</f>
        <v>0</v>
      </c>
      <c r="N109" cm="1">
        <f t="array" aca="1" ref="N109" ca="1">INDIRECT("Sheet2!AD" &amp; 10 + (ROW(N18)-ROW($C$4))*7)</f>
        <v>0</v>
      </c>
      <c r="O109" cm="1">
        <f t="array" aca="1" ref="O109" ca="1">INDIRECT("Sheet2!AE" &amp; 10 + (ROW(O18)-ROW($C$4))*7)</f>
        <v>0</v>
      </c>
    </row>
    <row r="110" spans="3:15" x14ac:dyDescent="0.25">
      <c r="C110" cm="1">
        <f t="array" aca="1" ref="C110" ca="1">INDIRECT("Sheet2!S" &amp; 10 + (ROW(C19)-ROW($C$4))*7)</f>
        <v>0</v>
      </c>
      <c r="D110" cm="1">
        <f t="array" aca="1" ref="D110" ca="1">INDIRECT("Sheet2!T" &amp; 10 + (ROW(D19)-ROW($C$4))*7)</f>
        <v>0</v>
      </c>
      <c r="E110" cm="1">
        <f t="array" aca="1" ref="E110" ca="1">INDIRECT("Sheet2!U" &amp; 10 + (ROW(E19)-ROW($C$4))*7)</f>
        <v>0</v>
      </c>
      <c r="F110" cm="1">
        <f t="array" aca="1" ref="F110" ca="1">INDIRECT("Sheet2!V" &amp; 10 + (ROW(F19)-ROW($C$4))*7)</f>
        <v>0</v>
      </c>
      <c r="G110" cm="1">
        <f t="array" aca="1" ref="G110" ca="1">INDIRECT("Sheet2!W" &amp; 10 + (ROW(G19)-ROW($C$4))*7)</f>
        <v>0</v>
      </c>
      <c r="H110" cm="1">
        <f t="array" aca="1" ref="H110" ca="1">INDIRECT("Sheet2!X" &amp; 10 + (ROW(H19)-ROW($C$4))*7)</f>
        <v>0</v>
      </c>
      <c r="I110" cm="1">
        <f t="array" aca="1" ref="I110" ca="1">INDIRECT("Sheet2!Y" &amp; 10 + (ROW(I19)-ROW($C$4))*7)</f>
        <v>0</v>
      </c>
      <c r="J110" cm="1">
        <f t="array" aca="1" ref="J110" ca="1">INDIRECT("Sheet2!Z" &amp; 10 + (ROW(J19)-ROW($C$4))*7)</f>
        <v>0</v>
      </c>
      <c r="K110" cm="1">
        <f t="array" aca="1" ref="K110" ca="1">INDIRECT("Sheet2!AA" &amp; 10 + (ROW(K19)-ROW($C$4))*7)</f>
        <v>0</v>
      </c>
      <c r="L110" cm="1">
        <f t="array" aca="1" ref="L110" ca="1">INDIRECT("Sheet2!AB" &amp; 10 + (ROW(L19)-ROW($C$4))*7)</f>
        <v>0</v>
      </c>
      <c r="M110" cm="1">
        <f t="array" aca="1" ref="M110" ca="1">INDIRECT("Sheet2!AC" &amp; 10 + (ROW(M19)-ROW($C$4))*7)</f>
        <v>0</v>
      </c>
      <c r="N110" cm="1">
        <f t="array" aca="1" ref="N110" ca="1">INDIRECT("Sheet2!AD" &amp; 10 + (ROW(N19)-ROW($C$4))*7)</f>
        <v>0</v>
      </c>
      <c r="O110" cm="1">
        <f t="array" aca="1" ref="O110" ca="1">INDIRECT("Sheet2!AE" &amp; 10 + (ROW(O19)-ROW($C$4))*7)</f>
        <v>0</v>
      </c>
    </row>
    <row r="111" spans="3:15" x14ac:dyDescent="0.25">
      <c r="C111" cm="1">
        <f t="array" aca="1" ref="C111" ca="1">INDIRECT("Sheet2!S" &amp; 10 + (ROW(C20)-ROW($C$4))*7)</f>
        <v>0</v>
      </c>
      <c r="D111" cm="1">
        <f t="array" aca="1" ref="D111" ca="1">INDIRECT("Sheet2!T" &amp; 10 + (ROW(D20)-ROW($C$4))*7)</f>
        <v>0</v>
      </c>
      <c r="E111" cm="1">
        <f t="array" aca="1" ref="E111" ca="1">INDIRECT("Sheet2!U" &amp; 10 + (ROW(E20)-ROW($C$4))*7)</f>
        <v>0</v>
      </c>
      <c r="F111" cm="1">
        <f t="array" aca="1" ref="F111" ca="1">INDIRECT("Sheet2!V" &amp; 10 + (ROW(F20)-ROW($C$4))*7)</f>
        <v>0</v>
      </c>
      <c r="G111" cm="1">
        <f t="array" aca="1" ref="G111" ca="1">INDIRECT("Sheet2!W" &amp; 10 + (ROW(G20)-ROW($C$4))*7)</f>
        <v>0</v>
      </c>
      <c r="H111" cm="1">
        <f t="array" aca="1" ref="H111" ca="1">INDIRECT("Sheet2!X" &amp; 10 + (ROW(H20)-ROW($C$4))*7)</f>
        <v>0</v>
      </c>
      <c r="I111" cm="1">
        <f t="array" aca="1" ref="I111" ca="1">INDIRECT("Sheet2!Y" &amp; 10 + (ROW(I20)-ROW($C$4))*7)</f>
        <v>0</v>
      </c>
      <c r="J111" cm="1">
        <f t="array" aca="1" ref="J111" ca="1">INDIRECT("Sheet2!Z" &amp; 10 + (ROW(J20)-ROW($C$4))*7)</f>
        <v>0</v>
      </c>
      <c r="K111" cm="1">
        <f t="array" aca="1" ref="K111" ca="1">INDIRECT("Sheet2!AA" &amp; 10 + (ROW(K20)-ROW($C$4))*7)</f>
        <v>0</v>
      </c>
      <c r="L111" cm="1">
        <f t="array" aca="1" ref="L111" ca="1">INDIRECT("Sheet2!AB" &amp; 10 + (ROW(L20)-ROW($C$4))*7)</f>
        <v>0</v>
      </c>
      <c r="M111" cm="1">
        <f t="array" aca="1" ref="M111" ca="1">INDIRECT("Sheet2!AC" &amp; 10 + (ROW(M20)-ROW($C$4))*7)</f>
        <v>0</v>
      </c>
      <c r="N111" cm="1">
        <f t="array" aca="1" ref="N111" ca="1">INDIRECT("Sheet2!AD" &amp; 10 + (ROW(N20)-ROW($C$4))*7)</f>
        <v>0</v>
      </c>
      <c r="O111" cm="1">
        <f t="array" aca="1" ref="O111" ca="1">INDIRECT("Sheet2!AE" &amp; 10 + (ROW(O20)-ROW($C$4))*7)</f>
        <v>0</v>
      </c>
    </row>
    <row r="112" spans="3:15" x14ac:dyDescent="0.25">
      <c r="C112" cm="1">
        <f t="array" aca="1" ref="C112" ca="1">INDIRECT("Sheet2!S" &amp; 10 + (ROW(C21)-ROW($C$4))*7)</f>
        <v>0</v>
      </c>
      <c r="D112" cm="1">
        <f t="array" aca="1" ref="D112" ca="1">INDIRECT("Sheet2!T" &amp; 10 + (ROW(D21)-ROW($C$4))*7)</f>
        <v>0</v>
      </c>
      <c r="E112" cm="1">
        <f t="array" aca="1" ref="E112" ca="1">INDIRECT("Sheet2!U" &amp; 10 + (ROW(E21)-ROW($C$4))*7)</f>
        <v>0</v>
      </c>
      <c r="F112" cm="1">
        <f t="array" aca="1" ref="F112" ca="1">INDIRECT("Sheet2!V" &amp; 10 + (ROW(F21)-ROW($C$4))*7)</f>
        <v>0</v>
      </c>
      <c r="G112" cm="1">
        <f t="array" aca="1" ref="G112" ca="1">INDIRECT("Sheet2!W" &amp; 10 + (ROW(G21)-ROW($C$4))*7)</f>
        <v>0</v>
      </c>
      <c r="H112" cm="1">
        <f t="array" aca="1" ref="H112" ca="1">INDIRECT("Sheet2!X" &amp; 10 + (ROW(H21)-ROW($C$4))*7)</f>
        <v>0</v>
      </c>
      <c r="I112" cm="1">
        <f t="array" aca="1" ref="I112" ca="1">INDIRECT("Sheet2!Y" &amp; 10 + (ROW(I21)-ROW($C$4))*7)</f>
        <v>0</v>
      </c>
      <c r="J112" cm="1">
        <f t="array" aca="1" ref="J112" ca="1">INDIRECT("Sheet2!Z" &amp; 10 + (ROW(J21)-ROW($C$4))*7)</f>
        <v>0</v>
      </c>
      <c r="K112" cm="1">
        <f t="array" aca="1" ref="K112" ca="1">INDIRECT("Sheet2!AA" &amp; 10 + (ROW(K21)-ROW($C$4))*7)</f>
        <v>0</v>
      </c>
      <c r="L112" cm="1">
        <f t="array" aca="1" ref="L112" ca="1">INDIRECT("Sheet2!AB" &amp; 10 + (ROW(L21)-ROW($C$4))*7)</f>
        <v>0</v>
      </c>
      <c r="M112" cm="1">
        <f t="array" aca="1" ref="M112" ca="1">INDIRECT("Sheet2!AC" &amp; 10 + (ROW(M21)-ROW($C$4))*7)</f>
        <v>0</v>
      </c>
      <c r="N112" cm="1">
        <f t="array" aca="1" ref="N112" ca="1">INDIRECT("Sheet2!AD" &amp; 10 + (ROW(N21)-ROW($C$4))*7)</f>
        <v>0</v>
      </c>
      <c r="O112" cm="1">
        <f t="array" aca="1" ref="O112" ca="1">INDIRECT("Sheet2!AE" &amp; 10 + (ROW(O21)-ROW($C$4))*7)</f>
        <v>0</v>
      </c>
    </row>
    <row r="113" spans="3:15" x14ac:dyDescent="0.25">
      <c r="C113" cm="1">
        <f t="array" aca="1" ref="C113" ca="1">INDIRECT("Sheet2!S" &amp; 10 + (ROW(C22)-ROW($C$4))*7)</f>
        <v>0</v>
      </c>
      <c r="D113" cm="1">
        <f t="array" aca="1" ref="D113" ca="1">INDIRECT("Sheet2!T" &amp; 10 + (ROW(D22)-ROW($C$4))*7)</f>
        <v>0</v>
      </c>
      <c r="E113" cm="1">
        <f t="array" aca="1" ref="E113" ca="1">INDIRECT("Sheet2!U" &amp; 10 + (ROW(E22)-ROW($C$4))*7)</f>
        <v>0</v>
      </c>
      <c r="F113" cm="1">
        <f t="array" aca="1" ref="F113" ca="1">INDIRECT("Sheet2!V" &amp; 10 + (ROW(F22)-ROW($C$4))*7)</f>
        <v>0</v>
      </c>
      <c r="G113" cm="1">
        <f t="array" aca="1" ref="G113" ca="1">INDIRECT("Sheet2!W" &amp; 10 + (ROW(G22)-ROW($C$4))*7)</f>
        <v>0</v>
      </c>
      <c r="H113" cm="1">
        <f t="array" aca="1" ref="H113" ca="1">INDIRECT("Sheet2!X" &amp; 10 + (ROW(H22)-ROW($C$4))*7)</f>
        <v>0</v>
      </c>
      <c r="I113" cm="1">
        <f t="array" aca="1" ref="I113" ca="1">INDIRECT("Sheet2!Y" &amp; 10 + (ROW(I22)-ROW($C$4))*7)</f>
        <v>0</v>
      </c>
      <c r="J113" cm="1">
        <f t="array" aca="1" ref="J113" ca="1">INDIRECT("Sheet2!Z" &amp; 10 + (ROW(J22)-ROW($C$4))*7)</f>
        <v>0</v>
      </c>
      <c r="K113" cm="1">
        <f t="array" aca="1" ref="K113" ca="1">INDIRECT("Sheet2!AA" &amp; 10 + (ROW(K22)-ROW($C$4))*7)</f>
        <v>0</v>
      </c>
      <c r="L113" cm="1">
        <f t="array" aca="1" ref="L113" ca="1">INDIRECT("Sheet2!AB" &amp; 10 + (ROW(L22)-ROW($C$4))*7)</f>
        <v>0</v>
      </c>
      <c r="M113" cm="1">
        <f t="array" aca="1" ref="M113" ca="1">INDIRECT("Sheet2!AC" &amp; 10 + (ROW(M22)-ROW($C$4))*7)</f>
        <v>0</v>
      </c>
      <c r="N113" cm="1">
        <f t="array" aca="1" ref="N113" ca="1">INDIRECT("Sheet2!AD" &amp; 10 + (ROW(N22)-ROW($C$4))*7)</f>
        <v>0</v>
      </c>
      <c r="O113" cm="1">
        <f t="array" aca="1" ref="O113" ca="1">INDIRECT("Sheet2!AE" &amp; 10 + (ROW(O22)-ROW($C$4))*7)</f>
        <v>0</v>
      </c>
    </row>
    <row r="114" spans="3:15" x14ac:dyDescent="0.25">
      <c r="C114" cm="1">
        <f t="array" aca="1" ref="C114" ca="1">INDIRECT("Sheet2!S" &amp; 10 + (ROW(C23)-ROW($C$4))*7)</f>
        <v>0</v>
      </c>
      <c r="D114" cm="1">
        <f t="array" aca="1" ref="D114" ca="1">INDIRECT("Sheet2!T" &amp; 10 + (ROW(D23)-ROW($C$4))*7)</f>
        <v>0</v>
      </c>
      <c r="E114" cm="1">
        <f t="array" aca="1" ref="E114" ca="1">INDIRECT("Sheet2!U" &amp; 10 + (ROW(E23)-ROW($C$4))*7)</f>
        <v>0</v>
      </c>
      <c r="F114" cm="1">
        <f t="array" aca="1" ref="F114" ca="1">INDIRECT("Sheet2!V" &amp; 10 + (ROW(F23)-ROW($C$4))*7)</f>
        <v>0</v>
      </c>
      <c r="G114" cm="1">
        <f t="array" aca="1" ref="G114" ca="1">INDIRECT("Sheet2!W" &amp; 10 + (ROW(G23)-ROW($C$4))*7)</f>
        <v>0</v>
      </c>
      <c r="H114" cm="1">
        <f t="array" aca="1" ref="H114" ca="1">INDIRECT("Sheet2!X" &amp; 10 + (ROW(H23)-ROW($C$4))*7)</f>
        <v>0</v>
      </c>
      <c r="I114" cm="1">
        <f t="array" aca="1" ref="I114" ca="1">INDIRECT("Sheet2!Y" &amp; 10 + (ROW(I23)-ROW($C$4))*7)</f>
        <v>0</v>
      </c>
      <c r="J114" cm="1">
        <f t="array" aca="1" ref="J114" ca="1">INDIRECT("Sheet2!Z" &amp; 10 + (ROW(J23)-ROW($C$4))*7)</f>
        <v>0</v>
      </c>
      <c r="K114" cm="1">
        <f t="array" aca="1" ref="K114" ca="1">INDIRECT("Sheet2!AA" &amp; 10 + (ROW(K23)-ROW($C$4))*7)</f>
        <v>0</v>
      </c>
      <c r="L114" cm="1">
        <f t="array" aca="1" ref="L114" ca="1">INDIRECT("Sheet2!AB" &amp; 10 + (ROW(L23)-ROW($C$4))*7)</f>
        <v>0</v>
      </c>
      <c r="M114" cm="1">
        <f t="array" aca="1" ref="M114" ca="1">INDIRECT("Sheet2!AC" &amp; 10 + (ROW(M23)-ROW($C$4))*7)</f>
        <v>0</v>
      </c>
      <c r="N114" cm="1">
        <f t="array" aca="1" ref="N114" ca="1">INDIRECT("Sheet2!AD" &amp; 10 + (ROW(N23)-ROW($C$4))*7)</f>
        <v>0</v>
      </c>
      <c r="O114" cm="1">
        <f t="array" aca="1" ref="O114" ca="1">INDIRECT("Sheet2!AE" &amp; 10 + (ROW(O23)-ROW($C$4))*7)</f>
        <v>0</v>
      </c>
    </row>
    <row r="115" spans="3:15" x14ac:dyDescent="0.25">
      <c r="C115" cm="1">
        <f t="array" aca="1" ref="C115" ca="1">INDIRECT("Sheet2!S" &amp; 10 + (ROW(C24)-ROW($C$4))*7)</f>
        <v>0</v>
      </c>
      <c r="D115" cm="1">
        <f t="array" aca="1" ref="D115" ca="1">INDIRECT("Sheet2!T" &amp; 10 + (ROW(D24)-ROW($C$4))*7)</f>
        <v>0</v>
      </c>
      <c r="E115" cm="1">
        <f t="array" aca="1" ref="E115" ca="1">INDIRECT("Sheet2!U" &amp; 10 + (ROW(E24)-ROW($C$4))*7)</f>
        <v>0</v>
      </c>
      <c r="F115" cm="1">
        <f t="array" aca="1" ref="F115" ca="1">INDIRECT("Sheet2!V" &amp; 10 + (ROW(F24)-ROW($C$4))*7)</f>
        <v>0</v>
      </c>
      <c r="G115" cm="1">
        <f t="array" aca="1" ref="G115" ca="1">INDIRECT("Sheet2!W" &amp; 10 + (ROW(G24)-ROW($C$4))*7)</f>
        <v>0</v>
      </c>
      <c r="H115" cm="1">
        <f t="array" aca="1" ref="H115" ca="1">INDIRECT("Sheet2!X" &amp; 10 + (ROW(H24)-ROW($C$4))*7)</f>
        <v>0</v>
      </c>
      <c r="I115" cm="1">
        <f t="array" aca="1" ref="I115" ca="1">INDIRECT("Sheet2!Y" &amp; 10 + (ROW(I24)-ROW($C$4))*7)</f>
        <v>0</v>
      </c>
      <c r="J115" cm="1">
        <f t="array" aca="1" ref="J115" ca="1">INDIRECT("Sheet2!Z" &amp; 10 + (ROW(J24)-ROW($C$4))*7)</f>
        <v>0</v>
      </c>
      <c r="K115" cm="1">
        <f t="array" aca="1" ref="K115" ca="1">INDIRECT("Sheet2!AA" &amp; 10 + (ROW(K24)-ROW($C$4))*7)</f>
        <v>0</v>
      </c>
      <c r="L115" cm="1">
        <f t="array" aca="1" ref="L115" ca="1">INDIRECT("Sheet2!AB" &amp; 10 + (ROW(L24)-ROW($C$4))*7)</f>
        <v>0</v>
      </c>
      <c r="M115" cm="1">
        <f t="array" aca="1" ref="M115" ca="1">INDIRECT("Sheet2!AC" &amp; 10 + (ROW(M24)-ROW($C$4))*7)</f>
        <v>0</v>
      </c>
      <c r="N115" cm="1">
        <f t="array" aca="1" ref="N115" ca="1">INDIRECT("Sheet2!AD" &amp; 10 + (ROW(N24)-ROW($C$4))*7)</f>
        <v>0</v>
      </c>
      <c r="O115" cm="1">
        <f t="array" aca="1" ref="O115" ca="1">INDIRECT("Sheet2!AE" &amp; 10 + (ROW(O24)-ROW($C$4))*7)</f>
        <v>0</v>
      </c>
    </row>
    <row r="116" spans="3:15" x14ac:dyDescent="0.25">
      <c r="C116" cm="1">
        <f t="array" aca="1" ref="C116" ca="1">INDIRECT("Sheet2!S" &amp; 10 + (ROW(C25)-ROW($C$4))*7)</f>
        <v>0</v>
      </c>
      <c r="D116" cm="1">
        <f t="array" aca="1" ref="D116" ca="1">INDIRECT("Sheet2!T" &amp; 10 + (ROW(D25)-ROW($C$4))*7)</f>
        <v>0</v>
      </c>
      <c r="E116" cm="1">
        <f t="array" aca="1" ref="E116" ca="1">INDIRECT("Sheet2!U" &amp; 10 + (ROW(E25)-ROW($C$4))*7)</f>
        <v>0</v>
      </c>
      <c r="F116" cm="1">
        <f t="array" aca="1" ref="F116" ca="1">INDIRECT("Sheet2!V" &amp; 10 + (ROW(F25)-ROW($C$4))*7)</f>
        <v>0</v>
      </c>
      <c r="G116" cm="1">
        <f t="array" aca="1" ref="G116" ca="1">INDIRECT("Sheet2!W" &amp; 10 + (ROW(G25)-ROW($C$4))*7)</f>
        <v>0</v>
      </c>
      <c r="H116" cm="1">
        <f t="array" aca="1" ref="H116" ca="1">INDIRECT("Sheet2!X" &amp; 10 + (ROW(H25)-ROW($C$4))*7)</f>
        <v>0</v>
      </c>
      <c r="I116" cm="1">
        <f t="array" aca="1" ref="I116" ca="1">INDIRECT("Sheet2!Y" &amp; 10 + (ROW(I25)-ROW($C$4))*7)</f>
        <v>0</v>
      </c>
      <c r="J116" cm="1">
        <f t="array" aca="1" ref="J116" ca="1">INDIRECT("Sheet2!Z" &amp; 10 + (ROW(J25)-ROW($C$4))*7)</f>
        <v>0</v>
      </c>
      <c r="K116" cm="1">
        <f t="array" aca="1" ref="K116" ca="1">INDIRECT("Sheet2!AA" &amp; 10 + (ROW(K25)-ROW($C$4))*7)</f>
        <v>0</v>
      </c>
      <c r="L116" cm="1">
        <f t="array" aca="1" ref="L116" ca="1">INDIRECT("Sheet2!AB" &amp; 10 + (ROW(L25)-ROW($C$4))*7)</f>
        <v>0</v>
      </c>
      <c r="M116" cm="1">
        <f t="array" aca="1" ref="M116" ca="1">INDIRECT("Sheet2!AC" &amp; 10 + (ROW(M25)-ROW($C$4))*7)</f>
        <v>0</v>
      </c>
      <c r="N116" cm="1">
        <f t="array" aca="1" ref="N116" ca="1">INDIRECT("Sheet2!AD" &amp; 10 + (ROW(N25)-ROW($C$4))*7)</f>
        <v>0</v>
      </c>
      <c r="O116" cm="1">
        <f t="array" aca="1" ref="O116" ca="1">INDIRECT("Sheet2!AE" &amp; 10 + (ROW(O25)-ROW($C$4))*7)</f>
        <v>0</v>
      </c>
    </row>
    <row r="117" spans="3:15" x14ac:dyDescent="0.25">
      <c r="C117" cm="1">
        <f t="array" aca="1" ref="C117" ca="1">INDIRECT("Sheet2!S" &amp; 10 + (ROW(C26)-ROW($C$4))*7)</f>
        <v>0</v>
      </c>
      <c r="D117" cm="1">
        <f t="array" aca="1" ref="D117" ca="1">INDIRECT("Sheet2!T" &amp; 10 + (ROW(D26)-ROW($C$4))*7)</f>
        <v>0</v>
      </c>
      <c r="E117" cm="1">
        <f t="array" aca="1" ref="E117" ca="1">INDIRECT("Sheet2!U" &amp; 10 + (ROW(E26)-ROW($C$4))*7)</f>
        <v>0</v>
      </c>
      <c r="F117" cm="1">
        <f t="array" aca="1" ref="F117" ca="1">INDIRECT("Sheet2!V" &amp; 10 + (ROW(F26)-ROW($C$4))*7)</f>
        <v>0</v>
      </c>
      <c r="G117" cm="1">
        <f t="array" aca="1" ref="G117" ca="1">INDIRECT("Sheet2!W" &amp; 10 + (ROW(G26)-ROW($C$4))*7)</f>
        <v>0</v>
      </c>
      <c r="H117" cm="1">
        <f t="array" aca="1" ref="H117" ca="1">INDIRECT("Sheet2!X" &amp; 10 + (ROW(H26)-ROW($C$4))*7)</f>
        <v>0</v>
      </c>
      <c r="I117" cm="1">
        <f t="array" aca="1" ref="I117" ca="1">INDIRECT("Sheet2!Y" &amp; 10 + (ROW(I26)-ROW($C$4))*7)</f>
        <v>0</v>
      </c>
      <c r="J117" cm="1">
        <f t="array" aca="1" ref="J117" ca="1">INDIRECT("Sheet2!Z" &amp; 10 + (ROW(J26)-ROW($C$4))*7)</f>
        <v>0</v>
      </c>
      <c r="K117" cm="1">
        <f t="array" aca="1" ref="K117" ca="1">INDIRECT("Sheet2!AA" &amp; 10 + (ROW(K26)-ROW($C$4))*7)</f>
        <v>0</v>
      </c>
      <c r="L117" cm="1">
        <f t="array" aca="1" ref="L117" ca="1">INDIRECT("Sheet2!AB" &amp; 10 + (ROW(L26)-ROW($C$4))*7)</f>
        <v>0</v>
      </c>
      <c r="M117" cm="1">
        <f t="array" aca="1" ref="M117" ca="1">INDIRECT("Sheet2!AC" &amp; 10 + (ROW(M26)-ROW($C$4))*7)</f>
        <v>0</v>
      </c>
      <c r="N117" cm="1">
        <f t="array" aca="1" ref="N117" ca="1">INDIRECT("Sheet2!AD" &amp; 10 + (ROW(N26)-ROW($C$4))*7)</f>
        <v>0</v>
      </c>
      <c r="O117" cm="1">
        <f t="array" aca="1" ref="O117" ca="1">INDIRECT("Sheet2!AE" &amp; 10 + (ROW(O26)-ROW($C$4))*7)</f>
        <v>0</v>
      </c>
    </row>
    <row r="118" spans="3:15" x14ac:dyDescent="0.25">
      <c r="C118" cm="1">
        <f t="array" aca="1" ref="C118" ca="1">INDIRECT("Sheet2!S" &amp; 10 + (ROW(C27)-ROW($C$4))*7)</f>
        <v>0</v>
      </c>
      <c r="D118" cm="1">
        <f t="array" aca="1" ref="D118" ca="1">INDIRECT("Sheet2!T" &amp; 10 + (ROW(D27)-ROW($C$4))*7)</f>
        <v>0</v>
      </c>
      <c r="E118" cm="1">
        <f t="array" aca="1" ref="E118" ca="1">INDIRECT("Sheet2!U" &amp; 10 + (ROW(E27)-ROW($C$4))*7)</f>
        <v>0</v>
      </c>
      <c r="F118" cm="1">
        <f t="array" aca="1" ref="F118" ca="1">INDIRECT("Sheet2!V" &amp; 10 + (ROW(F27)-ROW($C$4))*7)</f>
        <v>0</v>
      </c>
      <c r="G118" cm="1">
        <f t="array" aca="1" ref="G118" ca="1">INDIRECT("Sheet2!W" &amp; 10 + (ROW(G27)-ROW($C$4))*7)</f>
        <v>0</v>
      </c>
      <c r="H118" cm="1">
        <f t="array" aca="1" ref="H118" ca="1">INDIRECT("Sheet2!X" &amp; 10 + (ROW(H27)-ROW($C$4))*7)</f>
        <v>0</v>
      </c>
      <c r="I118" cm="1">
        <f t="array" aca="1" ref="I118" ca="1">INDIRECT("Sheet2!Y" &amp; 10 + (ROW(I27)-ROW($C$4))*7)</f>
        <v>0</v>
      </c>
      <c r="J118" cm="1">
        <f t="array" aca="1" ref="J118" ca="1">INDIRECT("Sheet2!Z" &amp; 10 + (ROW(J27)-ROW($C$4))*7)</f>
        <v>0</v>
      </c>
      <c r="K118" cm="1">
        <f t="array" aca="1" ref="K118" ca="1">INDIRECT("Sheet2!AA" &amp; 10 + (ROW(K27)-ROW($C$4))*7)</f>
        <v>0</v>
      </c>
      <c r="L118" cm="1">
        <f t="array" aca="1" ref="L118" ca="1">INDIRECT("Sheet2!AB" &amp; 10 + (ROW(L27)-ROW($C$4))*7)</f>
        <v>0</v>
      </c>
      <c r="M118" cm="1">
        <f t="array" aca="1" ref="M118" ca="1">INDIRECT("Sheet2!AC" &amp; 10 + (ROW(M27)-ROW($C$4))*7)</f>
        <v>0</v>
      </c>
      <c r="N118" cm="1">
        <f t="array" aca="1" ref="N118" ca="1">INDIRECT("Sheet2!AD" &amp; 10 + (ROW(N27)-ROW($C$4))*7)</f>
        <v>0</v>
      </c>
      <c r="O118" cm="1">
        <f t="array" aca="1" ref="O118" ca="1">INDIRECT("Sheet2!AE" &amp; 10 + (ROW(O27)-ROW($C$4))*7)</f>
        <v>0</v>
      </c>
    </row>
    <row r="119" spans="3:15" x14ac:dyDescent="0.25">
      <c r="C119" cm="1">
        <f t="array" aca="1" ref="C119" ca="1">INDIRECT("Sheet2!S" &amp; 10 + (ROW(C28)-ROW($C$4))*7)</f>
        <v>0</v>
      </c>
      <c r="D119" cm="1">
        <f t="array" aca="1" ref="D119" ca="1">INDIRECT("Sheet2!T" &amp; 10 + (ROW(D28)-ROW($C$4))*7)</f>
        <v>0</v>
      </c>
      <c r="E119" cm="1">
        <f t="array" aca="1" ref="E119" ca="1">INDIRECT("Sheet2!U" &amp; 10 + (ROW(E28)-ROW($C$4))*7)</f>
        <v>0</v>
      </c>
      <c r="F119" cm="1">
        <f t="array" aca="1" ref="F119" ca="1">INDIRECT("Sheet2!V" &amp; 10 + (ROW(F28)-ROW($C$4))*7)</f>
        <v>0</v>
      </c>
      <c r="G119" cm="1">
        <f t="array" aca="1" ref="G119" ca="1">INDIRECT("Sheet2!W" &amp; 10 + (ROW(G28)-ROW($C$4))*7)</f>
        <v>0</v>
      </c>
      <c r="H119" cm="1">
        <f t="array" aca="1" ref="H119" ca="1">INDIRECT("Sheet2!X" &amp; 10 + (ROW(H28)-ROW($C$4))*7)</f>
        <v>0</v>
      </c>
      <c r="I119" cm="1">
        <f t="array" aca="1" ref="I119" ca="1">INDIRECT("Sheet2!Y" &amp; 10 + (ROW(I28)-ROW($C$4))*7)</f>
        <v>0</v>
      </c>
      <c r="J119" cm="1">
        <f t="array" aca="1" ref="J119" ca="1">INDIRECT("Sheet2!Z" &amp; 10 + (ROW(J28)-ROW($C$4))*7)</f>
        <v>0</v>
      </c>
      <c r="K119" cm="1">
        <f t="array" aca="1" ref="K119" ca="1">INDIRECT("Sheet2!AA" &amp; 10 + (ROW(K28)-ROW($C$4))*7)</f>
        <v>0</v>
      </c>
      <c r="L119" cm="1">
        <f t="array" aca="1" ref="L119" ca="1">INDIRECT("Sheet2!AB" &amp; 10 + (ROW(L28)-ROW($C$4))*7)</f>
        <v>0</v>
      </c>
      <c r="M119" cm="1">
        <f t="array" aca="1" ref="M119" ca="1">INDIRECT("Sheet2!AC" &amp; 10 + (ROW(M28)-ROW($C$4))*7)</f>
        <v>0</v>
      </c>
      <c r="N119" cm="1">
        <f t="array" aca="1" ref="N119" ca="1">INDIRECT("Sheet2!AD" &amp; 10 + (ROW(N28)-ROW($C$4))*7)</f>
        <v>0</v>
      </c>
      <c r="O119" cm="1">
        <f t="array" aca="1" ref="O119" ca="1">INDIRECT("Sheet2!AE" &amp; 10 + (ROW(O28)-ROW($C$4))*7)</f>
        <v>0</v>
      </c>
    </row>
    <row r="120" spans="3:15" x14ac:dyDescent="0.25">
      <c r="C120" cm="1">
        <f t="array" aca="1" ref="C120" ca="1">INDIRECT("Sheet2!S" &amp; 10 + (ROW(C29)-ROW($C$4))*7)</f>
        <v>0</v>
      </c>
      <c r="D120" cm="1">
        <f t="array" aca="1" ref="D120" ca="1">INDIRECT("Sheet2!T" &amp; 10 + (ROW(D29)-ROW($C$4))*7)</f>
        <v>0</v>
      </c>
      <c r="E120" cm="1">
        <f t="array" aca="1" ref="E120" ca="1">INDIRECT("Sheet2!U" &amp; 10 + (ROW(E29)-ROW($C$4))*7)</f>
        <v>0</v>
      </c>
      <c r="F120" cm="1">
        <f t="array" aca="1" ref="F120" ca="1">INDIRECT("Sheet2!V" &amp; 10 + (ROW(F29)-ROW($C$4))*7)</f>
        <v>0</v>
      </c>
      <c r="G120" cm="1">
        <f t="array" aca="1" ref="G120" ca="1">INDIRECT("Sheet2!W" &amp; 10 + (ROW(G29)-ROW($C$4))*7)</f>
        <v>0</v>
      </c>
      <c r="H120" cm="1">
        <f t="array" aca="1" ref="H120" ca="1">INDIRECT("Sheet2!X" &amp; 10 + (ROW(H29)-ROW($C$4))*7)</f>
        <v>0</v>
      </c>
      <c r="I120" cm="1">
        <f t="array" aca="1" ref="I120" ca="1">INDIRECT("Sheet2!Y" &amp; 10 + (ROW(I29)-ROW($C$4))*7)</f>
        <v>0</v>
      </c>
      <c r="J120" cm="1">
        <f t="array" aca="1" ref="J120" ca="1">INDIRECT("Sheet2!Z" &amp; 10 + (ROW(J29)-ROW($C$4))*7)</f>
        <v>0</v>
      </c>
      <c r="K120" cm="1">
        <f t="array" aca="1" ref="K120" ca="1">INDIRECT("Sheet2!AA" &amp; 10 + (ROW(K29)-ROW($C$4))*7)</f>
        <v>0</v>
      </c>
      <c r="L120" cm="1">
        <f t="array" aca="1" ref="L120" ca="1">INDIRECT("Sheet2!AB" &amp; 10 + (ROW(L29)-ROW($C$4))*7)</f>
        <v>0</v>
      </c>
      <c r="M120" cm="1">
        <f t="array" aca="1" ref="M120" ca="1">INDIRECT("Sheet2!AC" &amp; 10 + (ROW(M29)-ROW($C$4))*7)</f>
        <v>0</v>
      </c>
      <c r="N120" cm="1">
        <f t="array" aca="1" ref="N120" ca="1">INDIRECT("Sheet2!AD" &amp; 10 + (ROW(N29)-ROW($C$4))*7)</f>
        <v>0</v>
      </c>
      <c r="O120" cm="1">
        <f t="array" aca="1" ref="O120" ca="1">INDIRECT("Sheet2!AE" &amp; 10 + (ROW(O29)-ROW($C$4))*7)</f>
        <v>0</v>
      </c>
    </row>
    <row r="121" spans="3:15" x14ac:dyDescent="0.25">
      <c r="C121" cm="1">
        <f t="array" aca="1" ref="C121" ca="1">INDIRECT("Sheet2!S" &amp; 10 + (ROW(C30)-ROW($C$4))*7)</f>
        <v>0</v>
      </c>
      <c r="D121" cm="1">
        <f t="array" aca="1" ref="D121" ca="1">INDIRECT("Sheet2!T" &amp; 10 + (ROW(D30)-ROW($C$4))*7)</f>
        <v>0</v>
      </c>
      <c r="E121" cm="1">
        <f t="array" aca="1" ref="E121" ca="1">INDIRECT("Sheet2!U" &amp; 10 + (ROW(E30)-ROW($C$4))*7)</f>
        <v>0</v>
      </c>
      <c r="F121" cm="1">
        <f t="array" aca="1" ref="F121" ca="1">INDIRECT("Sheet2!V" &amp; 10 + (ROW(F30)-ROW($C$4))*7)</f>
        <v>0</v>
      </c>
      <c r="G121" cm="1">
        <f t="array" aca="1" ref="G121" ca="1">INDIRECT("Sheet2!W" &amp; 10 + (ROW(G30)-ROW($C$4))*7)</f>
        <v>0</v>
      </c>
      <c r="H121" cm="1">
        <f t="array" aca="1" ref="H121" ca="1">INDIRECT("Sheet2!X" &amp; 10 + (ROW(H30)-ROW($C$4))*7)</f>
        <v>0</v>
      </c>
      <c r="I121" cm="1">
        <f t="array" aca="1" ref="I121" ca="1">INDIRECT("Sheet2!Y" &amp; 10 + (ROW(I30)-ROW($C$4))*7)</f>
        <v>0</v>
      </c>
      <c r="J121" cm="1">
        <f t="array" aca="1" ref="J121" ca="1">INDIRECT("Sheet2!Z" &amp; 10 + (ROW(J30)-ROW($C$4))*7)</f>
        <v>0</v>
      </c>
      <c r="K121" cm="1">
        <f t="array" aca="1" ref="K121" ca="1">INDIRECT("Sheet2!AA" &amp; 10 + (ROW(K30)-ROW($C$4))*7)</f>
        <v>0</v>
      </c>
      <c r="L121" cm="1">
        <f t="array" aca="1" ref="L121" ca="1">INDIRECT("Sheet2!AB" &amp; 10 + (ROW(L30)-ROW($C$4))*7)</f>
        <v>0</v>
      </c>
      <c r="M121" cm="1">
        <f t="array" aca="1" ref="M121" ca="1">INDIRECT("Sheet2!AC" &amp; 10 + (ROW(M30)-ROW($C$4))*7)</f>
        <v>0</v>
      </c>
      <c r="N121" cm="1">
        <f t="array" aca="1" ref="N121" ca="1">INDIRECT("Sheet2!AD" &amp; 10 + (ROW(N30)-ROW($C$4))*7)</f>
        <v>0</v>
      </c>
      <c r="O121" cm="1">
        <f t="array" aca="1" ref="O121" ca="1">INDIRECT("Sheet2!AE" &amp; 10 + (ROW(O30)-ROW($C$4))*7)</f>
        <v>0</v>
      </c>
    </row>
    <row r="122" spans="3:15" x14ac:dyDescent="0.25">
      <c r="C122" cm="1">
        <f t="array" aca="1" ref="C122" ca="1">INDIRECT("Sheet2!S" &amp; 10 + (ROW(C31)-ROW($C$4))*7)</f>
        <v>0</v>
      </c>
      <c r="D122" cm="1">
        <f t="array" aca="1" ref="D122" ca="1">INDIRECT("Sheet2!T" &amp; 10 + (ROW(D31)-ROW($C$4))*7)</f>
        <v>0</v>
      </c>
      <c r="E122" cm="1">
        <f t="array" aca="1" ref="E122" ca="1">INDIRECT("Sheet2!U" &amp; 10 + (ROW(E31)-ROW($C$4))*7)</f>
        <v>0</v>
      </c>
      <c r="F122" cm="1">
        <f t="array" aca="1" ref="F122" ca="1">INDIRECT("Sheet2!V" &amp; 10 + (ROW(F31)-ROW($C$4))*7)</f>
        <v>0</v>
      </c>
      <c r="G122" cm="1">
        <f t="array" aca="1" ref="G122" ca="1">INDIRECT("Sheet2!W" &amp; 10 + (ROW(G31)-ROW($C$4))*7)</f>
        <v>0</v>
      </c>
      <c r="H122" cm="1">
        <f t="array" aca="1" ref="H122" ca="1">INDIRECT("Sheet2!X" &amp; 10 + (ROW(H31)-ROW($C$4))*7)</f>
        <v>0</v>
      </c>
      <c r="I122" cm="1">
        <f t="array" aca="1" ref="I122" ca="1">INDIRECT("Sheet2!Y" &amp; 10 + (ROW(I31)-ROW($C$4))*7)</f>
        <v>0</v>
      </c>
      <c r="J122" cm="1">
        <f t="array" aca="1" ref="J122" ca="1">INDIRECT("Sheet2!Z" &amp; 10 + (ROW(J31)-ROW($C$4))*7)</f>
        <v>0</v>
      </c>
      <c r="K122" cm="1">
        <f t="array" aca="1" ref="K122" ca="1">INDIRECT("Sheet2!AA" &amp; 10 + (ROW(K31)-ROW($C$4))*7)</f>
        <v>0</v>
      </c>
      <c r="L122" cm="1">
        <f t="array" aca="1" ref="L122" ca="1">INDIRECT("Sheet2!AB" &amp; 10 + (ROW(L31)-ROW($C$4))*7)</f>
        <v>0</v>
      </c>
      <c r="M122" cm="1">
        <f t="array" aca="1" ref="M122" ca="1">INDIRECT("Sheet2!AC" &amp; 10 + (ROW(M31)-ROW($C$4))*7)</f>
        <v>0</v>
      </c>
      <c r="N122" cm="1">
        <f t="array" aca="1" ref="N122" ca="1">INDIRECT("Sheet2!AD" &amp; 10 + (ROW(N31)-ROW($C$4))*7)</f>
        <v>0</v>
      </c>
      <c r="O122" cm="1">
        <f t="array" aca="1" ref="O122" ca="1">INDIRECT("Sheet2!AE" &amp; 10 + (ROW(O31)-ROW($C$4))*7)</f>
        <v>0</v>
      </c>
    </row>
    <row r="123" spans="3:15" x14ac:dyDescent="0.25">
      <c r="C123" cm="1">
        <f t="array" aca="1" ref="C123" ca="1">INDIRECT("Sheet2!S" &amp; 10 + (ROW(C32)-ROW($C$4))*7)</f>
        <v>0</v>
      </c>
      <c r="D123" cm="1">
        <f t="array" aca="1" ref="D123" ca="1">INDIRECT("Sheet2!T" &amp; 10 + (ROW(D32)-ROW($C$4))*7)</f>
        <v>0</v>
      </c>
      <c r="E123" cm="1">
        <f t="array" aca="1" ref="E123" ca="1">INDIRECT("Sheet2!U" &amp; 10 + (ROW(E32)-ROW($C$4))*7)</f>
        <v>0</v>
      </c>
      <c r="F123" cm="1">
        <f t="array" aca="1" ref="F123" ca="1">INDIRECT("Sheet2!V" &amp; 10 + (ROW(F32)-ROW($C$4))*7)</f>
        <v>0</v>
      </c>
      <c r="G123" cm="1">
        <f t="array" aca="1" ref="G123" ca="1">INDIRECT("Sheet2!W" &amp; 10 + (ROW(G32)-ROW($C$4))*7)</f>
        <v>0</v>
      </c>
      <c r="H123" cm="1">
        <f t="array" aca="1" ref="H123" ca="1">INDIRECT("Sheet2!X" &amp; 10 + (ROW(H32)-ROW($C$4))*7)</f>
        <v>0</v>
      </c>
      <c r="I123" cm="1">
        <f t="array" aca="1" ref="I123" ca="1">INDIRECT("Sheet2!Y" &amp; 10 + (ROW(I32)-ROW($C$4))*7)</f>
        <v>0</v>
      </c>
      <c r="J123" cm="1">
        <f t="array" aca="1" ref="J123" ca="1">INDIRECT("Sheet2!Z" &amp; 10 + (ROW(J32)-ROW($C$4))*7)</f>
        <v>0</v>
      </c>
      <c r="K123" cm="1">
        <f t="array" aca="1" ref="K123" ca="1">INDIRECT("Sheet2!AA" &amp; 10 + (ROW(K32)-ROW($C$4))*7)</f>
        <v>0</v>
      </c>
      <c r="L123" cm="1">
        <f t="array" aca="1" ref="L123" ca="1">INDIRECT("Sheet2!AB" &amp; 10 + (ROW(L32)-ROW($C$4))*7)</f>
        <v>0</v>
      </c>
      <c r="M123" cm="1">
        <f t="array" aca="1" ref="M123" ca="1">INDIRECT("Sheet2!AC" &amp; 10 + (ROW(M32)-ROW($C$4))*7)</f>
        <v>0</v>
      </c>
      <c r="N123" cm="1">
        <f t="array" aca="1" ref="N123" ca="1">INDIRECT("Sheet2!AD" &amp; 10 + (ROW(N32)-ROW($C$4))*7)</f>
        <v>0</v>
      </c>
      <c r="O123" cm="1">
        <f t="array" aca="1" ref="O123" ca="1">INDIRECT("Sheet2!AE" &amp; 10 + (ROW(O32)-ROW($C$4))*7)</f>
        <v>0</v>
      </c>
    </row>
    <row r="124" spans="3:15" x14ac:dyDescent="0.25">
      <c r="C124" cm="1">
        <f t="array" aca="1" ref="C124" ca="1">INDIRECT("Sheet2!S" &amp; 10 + (ROW(C33)-ROW($C$4))*7)</f>
        <v>0</v>
      </c>
      <c r="D124" cm="1">
        <f t="array" aca="1" ref="D124" ca="1">INDIRECT("Sheet2!T" &amp; 10 + (ROW(D33)-ROW($C$4))*7)</f>
        <v>0</v>
      </c>
      <c r="E124" cm="1">
        <f t="array" aca="1" ref="E124" ca="1">INDIRECT("Sheet2!U" &amp; 10 + (ROW(E33)-ROW($C$4))*7)</f>
        <v>0</v>
      </c>
      <c r="F124" cm="1">
        <f t="array" aca="1" ref="F124" ca="1">INDIRECT("Sheet2!V" &amp; 10 + (ROW(F33)-ROW($C$4))*7)</f>
        <v>0</v>
      </c>
      <c r="G124" cm="1">
        <f t="array" aca="1" ref="G124" ca="1">INDIRECT("Sheet2!W" &amp; 10 + (ROW(G33)-ROW($C$4))*7)</f>
        <v>0</v>
      </c>
      <c r="H124" cm="1">
        <f t="array" aca="1" ref="H124" ca="1">INDIRECT("Sheet2!X" &amp; 10 + (ROW(H33)-ROW($C$4))*7)</f>
        <v>0</v>
      </c>
      <c r="I124" cm="1">
        <f t="array" aca="1" ref="I124" ca="1">INDIRECT("Sheet2!Y" &amp; 10 + (ROW(I33)-ROW($C$4))*7)</f>
        <v>0</v>
      </c>
      <c r="J124" cm="1">
        <f t="array" aca="1" ref="J124" ca="1">INDIRECT("Sheet2!Z" &amp; 10 + (ROW(J33)-ROW($C$4))*7)</f>
        <v>0</v>
      </c>
      <c r="K124" cm="1">
        <f t="array" aca="1" ref="K124" ca="1">INDIRECT("Sheet2!AA" &amp; 10 + (ROW(K33)-ROW($C$4))*7)</f>
        <v>0</v>
      </c>
      <c r="L124" cm="1">
        <f t="array" aca="1" ref="L124" ca="1">INDIRECT("Sheet2!AB" &amp; 10 + (ROW(L33)-ROW($C$4))*7)</f>
        <v>0</v>
      </c>
      <c r="M124" cm="1">
        <f t="array" aca="1" ref="M124" ca="1">INDIRECT("Sheet2!AC" &amp; 10 + (ROW(M33)-ROW($C$4))*7)</f>
        <v>0</v>
      </c>
      <c r="N124" cm="1">
        <f t="array" aca="1" ref="N124" ca="1">INDIRECT("Sheet2!AD" &amp; 10 + (ROW(N33)-ROW($C$4))*7)</f>
        <v>0</v>
      </c>
      <c r="O124" cm="1">
        <f t="array" aca="1" ref="O124" ca="1">INDIRECT("Sheet2!AE" &amp; 10 + (ROW(O33)-ROW($C$4))*7)</f>
        <v>0</v>
      </c>
    </row>
    <row r="125" spans="3:15" x14ac:dyDescent="0.25">
      <c r="C125" cm="1">
        <f t="array" aca="1" ref="C125" ca="1">INDIRECT("Sheet2!S" &amp; 10 + (ROW(C34)-ROW($C$4))*7)</f>
        <v>0</v>
      </c>
      <c r="D125" cm="1">
        <f t="array" aca="1" ref="D125" ca="1">INDIRECT("Sheet2!T" &amp; 10 + (ROW(D34)-ROW($C$4))*7)</f>
        <v>0</v>
      </c>
      <c r="E125" cm="1">
        <f t="array" aca="1" ref="E125" ca="1">INDIRECT("Sheet2!U" &amp; 10 + (ROW(E34)-ROW($C$4))*7)</f>
        <v>0</v>
      </c>
      <c r="F125" cm="1">
        <f t="array" aca="1" ref="F125" ca="1">INDIRECT("Sheet2!V" &amp; 10 + (ROW(F34)-ROW($C$4))*7)</f>
        <v>0</v>
      </c>
      <c r="G125" cm="1">
        <f t="array" aca="1" ref="G125" ca="1">INDIRECT("Sheet2!W" &amp; 10 + (ROW(G34)-ROW($C$4))*7)</f>
        <v>0</v>
      </c>
      <c r="H125" cm="1">
        <f t="array" aca="1" ref="H125" ca="1">INDIRECT("Sheet2!X" &amp; 10 + (ROW(H34)-ROW($C$4))*7)</f>
        <v>0</v>
      </c>
      <c r="I125" cm="1">
        <f t="array" aca="1" ref="I125" ca="1">INDIRECT("Sheet2!Y" &amp; 10 + (ROW(I34)-ROW($C$4))*7)</f>
        <v>0</v>
      </c>
      <c r="J125" cm="1">
        <f t="array" aca="1" ref="J125" ca="1">INDIRECT("Sheet2!Z" &amp; 10 + (ROW(J34)-ROW($C$4))*7)</f>
        <v>0</v>
      </c>
      <c r="K125" cm="1">
        <f t="array" aca="1" ref="K125" ca="1">INDIRECT("Sheet2!AA" &amp; 10 + (ROW(K34)-ROW($C$4))*7)</f>
        <v>0</v>
      </c>
      <c r="L125" cm="1">
        <f t="array" aca="1" ref="L125" ca="1">INDIRECT("Sheet2!AB" &amp; 10 + (ROW(L34)-ROW($C$4))*7)</f>
        <v>0</v>
      </c>
      <c r="M125" cm="1">
        <f t="array" aca="1" ref="M125" ca="1">INDIRECT("Sheet2!AC" &amp; 10 + (ROW(M34)-ROW($C$4))*7)</f>
        <v>0</v>
      </c>
      <c r="N125" cm="1">
        <f t="array" aca="1" ref="N125" ca="1">INDIRECT("Sheet2!AD" &amp; 10 + (ROW(N34)-ROW($C$4))*7)</f>
        <v>0</v>
      </c>
      <c r="O125" cm="1">
        <f t="array" aca="1" ref="O125" ca="1">INDIRECT("Sheet2!AE" &amp; 10 + (ROW(O34)-ROW($C$4))*7)</f>
        <v>0</v>
      </c>
    </row>
    <row r="126" spans="3:15" x14ac:dyDescent="0.25">
      <c r="C126" cm="1">
        <f t="array" aca="1" ref="C126" ca="1">INDIRECT("Sheet2!S" &amp; 10 + (ROW(C35)-ROW($C$4))*7)</f>
        <v>0</v>
      </c>
      <c r="D126" cm="1">
        <f t="array" aca="1" ref="D126" ca="1">INDIRECT("Sheet2!T" &amp; 10 + (ROW(D35)-ROW($C$4))*7)</f>
        <v>0</v>
      </c>
      <c r="E126" cm="1">
        <f t="array" aca="1" ref="E126" ca="1">INDIRECT("Sheet2!U" &amp; 10 + (ROW(E35)-ROW($C$4))*7)</f>
        <v>0</v>
      </c>
      <c r="F126" cm="1">
        <f t="array" aca="1" ref="F126" ca="1">INDIRECT("Sheet2!V" &amp; 10 + (ROW(F35)-ROW($C$4))*7)</f>
        <v>0</v>
      </c>
      <c r="G126" cm="1">
        <f t="array" aca="1" ref="G126" ca="1">INDIRECT("Sheet2!W" &amp; 10 + (ROW(G35)-ROW($C$4))*7)</f>
        <v>0</v>
      </c>
      <c r="H126" cm="1">
        <f t="array" aca="1" ref="H126" ca="1">INDIRECT("Sheet2!X" &amp; 10 + (ROW(H35)-ROW($C$4))*7)</f>
        <v>0</v>
      </c>
      <c r="I126" cm="1">
        <f t="array" aca="1" ref="I126" ca="1">INDIRECT("Sheet2!Y" &amp; 10 + (ROW(I35)-ROW($C$4))*7)</f>
        <v>0</v>
      </c>
      <c r="J126" cm="1">
        <f t="array" aca="1" ref="J126" ca="1">INDIRECT("Sheet2!Z" &amp; 10 + (ROW(J35)-ROW($C$4))*7)</f>
        <v>0</v>
      </c>
      <c r="K126" cm="1">
        <f t="array" aca="1" ref="K126" ca="1">INDIRECT("Sheet2!AA" &amp; 10 + (ROW(K35)-ROW($C$4))*7)</f>
        <v>0</v>
      </c>
      <c r="L126" cm="1">
        <f t="array" aca="1" ref="L126" ca="1">INDIRECT("Sheet2!AB" &amp; 10 + (ROW(L35)-ROW($C$4))*7)</f>
        <v>0</v>
      </c>
      <c r="M126" cm="1">
        <f t="array" aca="1" ref="M126" ca="1">INDIRECT("Sheet2!AC" &amp; 10 + (ROW(M35)-ROW($C$4))*7)</f>
        <v>0</v>
      </c>
      <c r="N126" cm="1">
        <f t="array" aca="1" ref="N126" ca="1">INDIRECT("Sheet2!AD" &amp; 10 + (ROW(N35)-ROW($C$4))*7)</f>
        <v>0</v>
      </c>
      <c r="O126" cm="1">
        <f t="array" aca="1" ref="O126" ca="1">INDIRECT("Sheet2!AE" &amp; 10 + (ROW(O35)-ROW($C$4))*7)</f>
        <v>0</v>
      </c>
    </row>
    <row r="127" spans="3:15" x14ac:dyDescent="0.25">
      <c r="C127" cm="1">
        <f t="array" aca="1" ref="C127" ca="1">INDIRECT("Sheet2!S" &amp; 10 + (ROW(C36)-ROW($C$4))*7)</f>
        <v>0</v>
      </c>
      <c r="D127" cm="1">
        <f t="array" aca="1" ref="D127" ca="1">INDIRECT("Sheet2!T" &amp; 10 + (ROW(D36)-ROW($C$4))*7)</f>
        <v>0</v>
      </c>
      <c r="E127" cm="1">
        <f t="array" aca="1" ref="E127" ca="1">INDIRECT("Sheet2!U" &amp; 10 + (ROW(E36)-ROW($C$4))*7)</f>
        <v>0</v>
      </c>
      <c r="F127" cm="1">
        <f t="array" aca="1" ref="F127" ca="1">INDIRECT("Sheet2!V" &amp; 10 + (ROW(F36)-ROW($C$4))*7)</f>
        <v>0</v>
      </c>
      <c r="G127" cm="1">
        <f t="array" aca="1" ref="G127" ca="1">INDIRECT("Sheet2!W" &amp; 10 + (ROW(G36)-ROW($C$4))*7)</f>
        <v>0</v>
      </c>
      <c r="H127" cm="1">
        <f t="array" aca="1" ref="H127" ca="1">INDIRECT("Sheet2!X" &amp; 10 + (ROW(H36)-ROW($C$4))*7)</f>
        <v>0</v>
      </c>
      <c r="I127" cm="1">
        <f t="array" aca="1" ref="I127" ca="1">INDIRECT("Sheet2!Y" &amp; 10 + (ROW(I36)-ROW($C$4))*7)</f>
        <v>0</v>
      </c>
      <c r="J127" cm="1">
        <f t="array" aca="1" ref="J127" ca="1">INDIRECT("Sheet2!Z" &amp; 10 + (ROW(J36)-ROW($C$4))*7)</f>
        <v>0</v>
      </c>
      <c r="K127" cm="1">
        <f t="array" aca="1" ref="K127" ca="1">INDIRECT("Sheet2!AA" &amp; 10 + (ROW(K36)-ROW($C$4))*7)</f>
        <v>0</v>
      </c>
      <c r="L127" cm="1">
        <f t="array" aca="1" ref="L127" ca="1">INDIRECT("Sheet2!AB" &amp; 10 + (ROW(L36)-ROW($C$4))*7)</f>
        <v>0</v>
      </c>
      <c r="M127" cm="1">
        <f t="array" aca="1" ref="M127" ca="1">INDIRECT("Sheet2!AC" &amp; 10 + (ROW(M36)-ROW($C$4))*7)</f>
        <v>0</v>
      </c>
      <c r="N127" cm="1">
        <f t="array" aca="1" ref="N127" ca="1">INDIRECT("Sheet2!AD" &amp; 10 + (ROW(N36)-ROW($C$4))*7)</f>
        <v>0</v>
      </c>
      <c r="O127" cm="1">
        <f t="array" aca="1" ref="O127" ca="1">INDIRECT("Sheet2!AE" &amp; 10 + (ROW(O36)-ROW($C$4))*7)</f>
        <v>0</v>
      </c>
    </row>
    <row r="128" spans="3:15" x14ac:dyDescent="0.25">
      <c r="C128" cm="1">
        <f t="array" aca="1" ref="C128" ca="1">INDIRECT("Sheet2!S" &amp; 10 + (ROW(C37)-ROW($C$4))*7)</f>
        <v>0</v>
      </c>
      <c r="D128" cm="1">
        <f t="array" aca="1" ref="D128" ca="1">INDIRECT("Sheet2!T" &amp; 10 + (ROW(D37)-ROW($C$4))*7)</f>
        <v>0</v>
      </c>
      <c r="E128" cm="1">
        <f t="array" aca="1" ref="E128" ca="1">INDIRECT("Sheet2!U" &amp; 10 + (ROW(E37)-ROW($C$4))*7)</f>
        <v>0</v>
      </c>
      <c r="F128" cm="1">
        <f t="array" aca="1" ref="F128" ca="1">INDIRECT("Sheet2!V" &amp; 10 + (ROW(F37)-ROW($C$4))*7)</f>
        <v>0</v>
      </c>
      <c r="G128" cm="1">
        <f t="array" aca="1" ref="G128" ca="1">INDIRECT("Sheet2!W" &amp; 10 + (ROW(G37)-ROW($C$4))*7)</f>
        <v>0</v>
      </c>
      <c r="H128" cm="1">
        <f t="array" aca="1" ref="H128" ca="1">INDIRECT("Sheet2!X" &amp; 10 + (ROW(H37)-ROW($C$4))*7)</f>
        <v>0</v>
      </c>
      <c r="I128" cm="1">
        <f t="array" aca="1" ref="I128" ca="1">INDIRECT("Sheet2!Y" &amp; 10 + (ROW(I37)-ROW($C$4))*7)</f>
        <v>0</v>
      </c>
      <c r="J128" cm="1">
        <f t="array" aca="1" ref="J128" ca="1">INDIRECT("Sheet2!Z" &amp; 10 + (ROW(J37)-ROW($C$4))*7)</f>
        <v>0</v>
      </c>
      <c r="K128" cm="1">
        <f t="array" aca="1" ref="K128" ca="1">INDIRECT("Sheet2!AA" &amp; 10 + (ROW(K37)-ROW($C$4))*7)</f>
        <v>0</v>
      </c>
      <c r="L128" cm="1">
        <f t="array" aca="1" ref="L128" ca="1">INDIRECT("Sheet2!AB" &amp; 10 + (ROW(L37)-ROW($C$4))*7)</f>
        <v>0</v>
      </c>
      <c r="M128" cm="1">
        <f t="array" aca="1" ref="M128" ca="1">INDIRECT("Sheet2!AC" &amp; 10 + (ROW(M37)-ROW($C$4))*7)</f>
        <v>0</v>
      </c>
      <c r="N128" cm="1">
        <f t="array" aca="1" ref="N128" ca="1">INDIRECT("Sheet2!AD" &amp; 10 + (ROW(N37)-ROW($C$4))*7)</f>
        <v>0</v>
      </c>
      <c r="O128" cm="1">
        <f t="array" aca="1" ref="O128" ca="1">INDIRECT("Sheet2!AE" &amp; 10 + (ROW(O37)-ROW($C$4))*7)</f>
        <v>0</v>
      </c>
    </row>
    <row r="129" spans="2:19" x14ac:dyDescent="0.25">
      <c r="C129" cm="1">
        <f t="array" aca="1" ref="C129" ca="1">INDIRECT("Sheet2!S" &amp; 10 + (ROW(C38)-ROW($C$4))*7)</f>
        <v>0</v>
      </c>
      <c r="D129" cm="1">
        <f t="array" aca="1" ref="D129" ca="1">INDIRECT("Sheet2!T" &amp; 10 + (ROW(D38)-ROW($C$4))*7)</f>
        <v>0</v>
      </c>
      <c r="E129" cm="1">
        <f t="array" aca="1" ref="E129" ca="1">INDIRECT("Sheet2!U" &amp; 10 + (ROW(E38)-ROW($C$4))*7)</f>
        <v>0</v>
      </c>
      <c r="F129" cm="1">
        <f t="array" aca="1" ref="F129" ca="1">INDIRECT("Sheet2!V" &amp; 10 + (ROW(F38)-ROW($C$4))*7)</f>
        <v>0</v>
      </c>
      <c r="G129" cm="1">
        <f t="array" aca="1" ref="G129" ca="1">INDIRECT("Sheet2!W" &amp; 10 + (ROW(G38)-ROW($C$4))*7)</f>
        <v>0</v>
      </c>
      <c r="H129" cm="1">
        <f t="array" aca="1" ref="H129" ca="1">INDIRECT("Sheet2!X" &amp; 10 + (ROW(H38)-ROW($C$4))*7)</f>
        <v>0</v>
      </c>
      <c r="I129" cm="1">
        <f t="array" aca="1" ref="I129" ca="1">INDIRECT("Sheet2!Y" &amp; 10 + (ROW(I38)-ROW($C$4))*7)</f>
        <v>0</v>
      </c>
      <c r="J129" cm="1">
        <f t="array" aca="1" ref="J129" ca="1">INDIRECT("Sheet2!Z" &amp; 10 + (ROW(J38)-ROW($C$4))*7)</f>
        <v>0</v>
      </c>
      <c r="K129" cm="1">
        <f t="array" aca="1" ref="K129" ca="1">INDIRECT("Sheet2!AA" &amp; 10 + (ROW(K38)-ROW($C$4))*7)</f>
        <v>0</v>
      </c>
      <c r="L129" cm="1">
        <f t="array" aca="1" ref="L129" ca="1">INDIRECT("Sheet2!AB" &amp; 10 + (ROW(L38)-ROW($C$4))*7)</f>
        <v>0</v>
      </c>
      <c r="M129" cm="1">
        <f t="array" aca="1" ref="M129" ca="1">INDIRECT("Sheet2!AC" &amp; 10 + (ROW(M38)-ROW($C$4))*7)</f>
        <v>0</v>
      </c>
      <c r="N129" cm="1">
        <f t="array" aca="1" ref="N129" ca="1">INDIRECT("Sheet2!AD" &amp; 10 + (ROW(N38)-ROW($C$4))*7)</f>
        <v>0</v>
      </c>
      <c r="O129" cm="1">
        <f t="array" aca="1" ref="O129" ca="1">INDIRECT("Sheet2!AE" &amp; 10 + (ROW(O38)-ROW($C$4))*7)</f>
        <v>0</v>
      </c>
    </row>
    <row r="130" spans="2:19" x14ac:dyDescent="0.25">
      <c r="C130" cm="1">
        <f t="array" aca="1" ref="C130" ca="1">INDIRECT("Sheet2!S" &amp; 10 + (ROW(C39)-ROW($C$4))*7)</f>
        <v>0</v>
      </c>
      <c r="D130" cm="1">
        <f t="array" aca="1" ref="D130" ca="1">INDIRECT("Sheet2!T" &amp; 10 + (ROW(D39)-ROW($C$4))*7)</f>
        <v>0</v>
      </c>
      <c r="E130" cm="1">
        <f t="array" aca="1" ref="E130" ca="1">INDIRECT("Sheet2!U" &amp; 10 + (ROW(E39)-ROW($C$4))*7)</f>
        <v>0</v>
      </c>
      <c r="F130" cm="1">
        <f t="array" aca="1" ref="F130" ca="1">INDIRECT("Sheet2!V" &amp; 10 + (ROW(F39)-ROW($C$4))*7)</f>
        <v>0</v>
      </c>
      <c r="G130" cm="1">
        <f t="array" aca="1" ref="G130" ca="1">INDIRECT("Sheet2!W" &amp; 10 + (ROW(G39)-ROW($C$4))*7)</f>
        <v>0</v>
      </c>
      <c r="H130" cm="1">
        <f t="array" aca="1" ref="H130" ca="1">INDIRECT("Sheet2!X" &amp; 10 + (ROW(H39)-ROW($C$4))*7)</f>
        <v>0</v>
      </c>
      <c r="I130" cm="1">
        <f t="array" aca="1" ref="I130" ca="1">INDIRECT("Sheet2!Y" &amp; 10 + (ROW(I39)-ROW($C$4))*7)</f>
        <v>0</v>
      </c>
      <c r="J130" cm="1">
        <f t="array" aca="1" ref="J130" ca="1">INDIRECT("Sheet2!Z" &amp; 10 + (ROW(J39)-ROW($C$4))*7)</f>
        <v>0</v>
      </c>
      <c r="K130" cm="1">
        <f t="array" aca="1" ref="K130" ca="1">INDIRECT("Sheet2!AA" &amp; 10 + (ROW(K39)-ROW($C$4))*7)</f>
        <v>0</v>
      </c>
      <c r="L130" cm="1">
        <f t="array" aca="1" ref="L130" ca="1">INDIRECT("Sheet2!AB" &amp; 10 + (ROW(L39)-ROW($C$4))*7)</f>
        <v>0</v>
      </c>
      <c r="M130" cm="1">
        <f t="array" aca="1" ref="M130" ca="1">INDIRECT("Sheet2!AC" &amp; 10 + (ROW(M39)-ROW($C$4))*7)</f>
        <v>0</v>
      </c>
      <c r="N130" cm="1">
        <f t="array" aca="1" ref="N130" ca="1">INDIRECT("Sheet2!AD" &amp; 10 + (ROW(N39)-ROW($C$4))*7)</f>
        <v>0</v>
      </c>
      <c r="O130" cm="1">
        <f t="array" aca="1" ref="O130" ca="1">INDIRECT("Sheet2!AE" &amp; 10 + (ROW(O39)-ROW($C$4))*7)</f>
        <v>0</v>
      </c>
    </row>
    <row r="131" spans="2:19" x14ac:dyDescent="0.25">
      <c r="C131" cm="1">
        <f t="array" aca="1" ref="C131" ca="1">INDIRECT("Sheet2!S" &amp; 10 + (ROW(C40)-ROW($C$4))*7)</f>
        <v>0</v>
      </c>
      <c r="D131" cm="1">
        <f t="array" aca="1" ref="D131" ca="1">INDIRECT("Sheet2!T" &amp; 10 + (ROW(D40)-ROW($C$4))*7)</f>
        <v>0</v>
      </c>
      <c r="E131" cm="1">
        <f t="array" aca="1" ref="E131" ca="1">INDIRECT("Sheet2!U" &amp; 10 + (ROW(E40)-ROW($C$4))*7)</f>
        <v>0</v>
      </c>
      <c r="F131" cm="1">
        <f t="array" aca="1" ref="F131" ca="1">INDIRECT("Sheet2!V" &amp; 10 + (ROW(F40)-ROW($C$4))*7)</f>
        <v>0</v>
      </c>
      <c r="G131" cm="1">
        <f t="array" aca="1" ref="G131" ca="1">INDIRECT("Sheet2!W" &amp; 10 + (ROW(G40)-ROW($C$4))*7)</f>
        <v>0</v>
      </c>
      <c r="H131" cm="1">
        <f t="array" aca="1" ref="H131" ca="1">INDIRECT("Sheet2!X" &amp; 10 + (ROW(H40)-ROW($C$4))*7)</f>
        <v>0</v>
      </c>
      <c r="I131" cm="1">
        <f t="array" aca="1" ref="I131" ca="1">INDIRECT("Sheet2!Y" &amp; 10 + (ROW(I40)-ROW($C$4))*7)</f>
        <v>0</v>
      </c>
      <c r="J131" cm="1">
        <f t="array" aca="1" ref="J131" ca="1">INDIRECT("Sheet2!Z" &amp; 10 + (ROW(J40)-ROW($C$4))*7)</f>
        <v>0</v>
      </c>
      <c r="K131" cm="1">
        <f t="array" aca="1" ref="K131" ca="1">INDIRECT("Sheet2!AA" &amp; 10 + (ROW(K40)-ROW($C$4))*7)</f>
        <v>0</v>
      </c>
      <c r="L131" cm="1">
        <f t="array" aca="1" ref="L131" ca="1">INDIRECT("Sheet2!AB" &amp; 10 + (ROW(L40)-ROW($C$4))*7)</f>
        <v>0</v>
      </c>
      <c r="M131" cm="1">
        <f t="array" aca="1" ref="M131" ca="1">INDIRECT("Sheet2!AC" &amp; 10 + (ROW(M40)-ROW($C$4))*7)</f>
        <v>0</v>
      </c>
      <c r="N131" cm="1">
        <f t="array" aca="1" ref="N131" ca="1">INDIRECT("Sheet2!AD" &amp; 10 + (ROW(N40)-ROW($C$4))*7)</f>
        <v>0</v>
      </c>
      <c r="O131" cm="1">
        <f t="array" aca="1" ref="O131" ca="1">INDIRECT("Sheet2!AE" &amp; 10 + (ROW(O40)-ROW($C$4))*7)</f>
        <v>0</v>
      </c>
    </row>
    <row r="132" spans="2:19" x14ac:dyDescent="0.25">
      <c r="C132" s="25" cm="1">
        <f t="array" aca="1" ref="C132" ca="1">INDIRECT("Sheet2!S" &amp; 10 + (ROW(C41)-ROW($C$4))*7)</f>
        <v>0</v>
      </c>
      <c r="D132" s="25" cm="1">
        <f t="array" aca="1" ref="D132" ca="1">INDIRECT("Sheet2!T" &amp; 10 + (ROW(D41)-ROW($C$4))*7)</f>
        <v>0</v>
      </c>
      <c r="E132" s="25" cm="1">
        <f t="array" aca="1" ref="E132" ca="1">INDIRECT("Sheet2!U" &amp; 10 + (ROW(E41)-ROW($C$4))*7)</f>
        <v>0</v>
      </c>
      <c r="F132" s="25" cm="1">
        <f t="array" aca="1" ref="F132" ca="1">INDIRECT("Sheet2!V" &amp; 10 + (ROW(F41)-ROW($C$4))*7)</f>
        <v>0</v>
      </c>
      <c r="G132" s="25" cm="1">
        <f t="array" aca="1" ref="G132" ca="1">INDIRECT("Sheet2!W" &amp; 10 + (ROW(G41)-ROW($C$4))*7)</f>
        <v>0</v>
      </c>
      <c r="H132" s="25" cm="1">
        <f t="array" aca="1" ref="H132" ca="1">INDIRECT("Sheet2!X" &amp; 10 + (ROW(H41)-ROW($C$4))*7)</f>
        <v>0</v>
      </c>
      <c r="I132" s="25" cm="1">
        <f t="array" aca="1" ref="I132" ca="1">INDIRECT("Sheet2!Y" &amp; 10 + (ROW(I41)-ROW($C$4))*7)</f>
        <v>0</v>
      </c>
      <c r="J132" s="25" cm="1">
        <f t="array" aca="1" ref="J132" ca="1">INDIRECT("Sheet2!Z" &amp; 10 + (ROW(J41)-ROW($C$4))*7)</f>
        <v>0</v>
      </c>
      <c r="K132" s="25" cm="1">
        <f t="array" aca="1" ref="K132" ca="1">INDIRECT("Sheet2!AA" &amp; 10 + (ROW(K41)-ROW($C$4))*7)</f>
        <v>0</v>
      </c>
      <c r="L132" s="25" cm="1">
        <f t="array" aca="1" ref="L132" ca="1">INDIRECT("Sheet2!AB" &amp; 10 + (ROW(L41)-ROW($C$4))*7)</f>
        <v>0</v>
      </c>
      <c r="M132" s="25" cm="1">
        <f t="array" aca="1" ref="M132" ca="1">INDIRECT("Sheet2!AC" &amp; 10 + (ROW(M41)-ROW($C$4))*7)</f>
        <v>0</v>
      </c>
      <c r="N132" s="25" cm="1">
        <f t="array" aca="1" ref="N132" ca="1">INDIRECT("Sheet2!AD" &amp; 10 + (ROW(N41)-ROW($C$4))*7)</f>
        <v>0</v>
      </c>
      <c r="O132" s="25" cm="1">
        <f t="array" aca="1" ref="O132" ca="1">INDIRECT("Sheet2!AE" &amp; 10 + (ROW(O41)-ROW($C$4))*7)</f>
        <v>0</v>
      </c>
    </row>
    <row r="133" spans="2:19" x14ac:dyDescent="0.25">
      <c r="B133" t="s">
        <v>43</v>
      </c>
      <c r="C133">
        <f ca="1">SUM(C95:C132)</f>
        <v>0</v>
      </c>
      <c r="D133">
        <f t="shared" ref="D133" ca="1" si="5">SUM(D95:D132)</f>
        <v>0</v>
      </c>
      <c r="E133">
        <f t="shared" ref="E133" ca="1" si="6">SUM(E95:E132)</f>
        <v>0</v>
      </c>
      <c r="F133">
        <f ca="1">SUM(F95:F132)</f>
        <v>0</v>
      </c>
      <c r="G133">
        <f t="shared" ref="G133" ca="1" si="7">SUM(G95:G132)</f>
        <v>0</v>
      </c>
      <c r="H133">
        <f t="shared" ref="H133" ca="1" si="8">SUM(H95:H132)</f>
        <v>0</v>
      </c>
      <c r="I133">
        <f t="shared" ref="I133" ca="1" si="9">SUM(I95:I132)</f>
        <v>0</v>
      </c>
      <c r="J133">
        <f ca="1">SUM(J95:J132)</f>
        <v>0</v>
      </c>
      <c r="K133">
        <f t="shared" ref="K133:L133" ca="1" si="10">SUM(K95:K132)</f>
        <v>0</v>
      </c>
      <c r="L133">
        <f t="shared" ca="1" si="10"/>
        <v>0</v>
      </c>
      <c r="M133">
        <f ca="1">SUM(M95:M132)</f>
        <v>0</v>
      </c>
      <c r="N133">
        <f t="shared" ref="N133:O133" ca="1" si="11">SUM(N95:N132)</f>
        <v>0</v>
      </c>
      <c r="O133">
        <f t="shared" ca="1" si="11"/>
        <v>0</v>
      </c>
    </row>
    <row r="142" spans="2:19" x14ac:dyDescent="0.25">
      <c r="B142" t="s">
        <v>99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</row>
    <row r="143" spans="2:19" x14ac:dyDescent="0.25">
      <c r="C143">
        <f ca="1">C89+C133</f>
        <v>0</v>
      </c>
      <c r="D143">
        <f ca="1">D89+D133</f>
        <v>0</v>
      </c>
      <c r="E143">
        <f t="shared" ref="E143:H143" ca="1" si="12">E89+E133</f>
        <v>0</v>
      </c>
      <c r="F143">
        <f ca="1">F89+F133</f>
        <v>0</v>
      </c>
      <c r="G143">
        <f t="shared" ca="1" si="12"/>
        <v>0</v>
      </c>
      <c r="H143">
        <f t="shared" ca="1" si="12"/>
        <v>0</v>
      </c>
      <c r="I143">
        <f ca="1">I89+I133</f>
        <v>0</v>
      </c>
      <c r="J143">
        <f ca="1">J89+J133</f>
        <v>0</v>
      </c>
      <c r="K143">
        <f ca="1">K89+K133</f>
        <v>0</v>
      </c>
      <c r="L143">
        <f t="shared" ref="L143" ca="1" si="13">L89+L133</f>
        <v>0</v>
      </c>
      <c r="M143">
        <f ca="1">M89+M133</f>
        <v>0</v>
      </c>
      <c r="N143">
        <f t="shared" ref="N143:Q143" ca="1" si="14">N89+N133</f>
        <v>0</v>
      </c>
      <c r="O143">
        <f t="shared" ca="1" si="14"/>
        <v>0</v>
      </c>
      <c r="P143">
        <f t="shared" si="14"/>
        <v>0</v>
      </c>
      <c r="Q143">
        <f t="shared" si="14"/>
        <v>0</v>
      </c>
      <c r="R143">
        <f>R89+R133</f>
        <v>0</v>
      </c>
      <c r="S143">
        <f>S89+S133</f>
        <v>0</v>
      </c>
    </row>
    <row r="147" spans="2:24" x14ac:dyDescent="0.25">
      <c r="B147" t="s">
        <v>103</v>
      </c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</row>
    <row r="148" spans="2:24" x14ac:dyDescent="0.25">
      <c r="C148" cm="1">
        <f t="array" ref="C148">INDEX(Sheet2!$D$300:$Z$300, COLUMN(A1))</f>
        <v>0</v>
      </c>
      <c r="D148" cm="1">
        <f t="array" ref="D148">INDEX(Sheet2!$D$300:$Z$300, COLUMN(B1))</f>
        <v>0</v>
      </c>
      <c r="E148" cm="1">
        <f t="array" ref="E148">INDEX(Sheet2!$D$300:$Z$300, COLUMN(C1))</f>
        <v>0</v>
      </c>
      <c r="F148" cm="1">
        <f t="array" ref="F148">INDEX(Sheet2!$D$300:$Z$300, COLUMN(D1))</f>
        <v>0</v>
      </c>
      <c r="G148" cm="1">
        <f t="array" ref="G148">INDEX(Sheet2!$D$300:$Z$300, COLUMN(E1))</f>
        <v>0</v>
      </c>
      <c r="H148" cm="1">
        <f t="array" ref="H148">INDEX(Sheet2!$D$300:$Z$300, COLUMN(F1))</f>
        <v>0</v>
      </c>
      <c r="I148" cm="1">
        <f t="array" ref="I148">INDEX(Sheet2!$D$300:$Z$300, COLUMN(G1))</f>
        <v>0</v>
      </c>
      <c r="J148" cm="1">
        <f t="array" ref="J148">INDEX(Sheet2!$D$300:$Z$300, COLUMN(H1))</f>
        <v>0</v>
      </c>
      <c r="K148" cm="1">
        <f t="array" ref="K148">INDEX(Sheet2!$D$300:$Z$300, COLUMN(I1))</f>
        <v>0</v>
      </c>
      <c r="L148" cm="1">
        <f t="array" ref="L148">INDEX(Sheet2!$D$300:$Z$300, COLUMN(J1))</f>
        <v>0</v>
      </c>
      <c r="M148" cm="1">
        <f t="array" ref="M148">INDEX(Sheet2!$D$300:$Z$300, COLUMN(K1))</f>
        <v>0</v>
      </c>
      <c r="N148" cm="1">
        <f t="array" ref="N148">INDEX(Sheet2!$D$300:$Z$300, COLUMN(L1))</f>
        <v>0</v>
      </c>
      <c r="O148" cm="1">
        <f t="array" ref="O148">INDEX(Sheet2!$D$300:$Z$300, COLUMN(M1))</f>
        <v>0</v>
      </c>
      <c r="P148" cm="1">
        <f t="array" ref="P148">INDEX(Sheet2!$D$300:$Z$300, COLUMN(N1))</f>
        <v>0</v>
      </c>
      <c r="Q148" cm="1">
        <f t="array" ref="Q148">INDEX(Sheet2!$D$300:$Z$300, COLUMN(O1))</f>
        <v>0</v>
      </c>
      <c r="R148" cm="1">
        <f t="array" ref="R148">INDEX(Sheet2!$D$300:$Z$300, COLUMN(P1))</f>
        <v>0</v>
      </c>
      <c r="S148" cm="1">
        <f t="array" ref="S148">INDEX(Sheet2!$D$300:$Z$300, COLUMN(Q1))</f>
        <v>0</v>
      </c>
    </row>
    <row r="150" spans="2:24" x14ac:dyDescent="0.25"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</row>
    <row r="151" spans="2:24" x14ac:dyDescent="0.25">
      <c r="B151" t="s">
        <v>104</v>
      </c>
      <c r="C151" cm="1">
        <f t="array" ref="C151">INDEX(Sheet2!$D$301:$Z$301, COLUMN(A1))</f>
        <v>0</v>
      </c>
      <c r="D151" cm="1">
        <f t="array" ref="D151">INDEX(Sheet2!$D$301:$Z$301, COLUMN(B1))</f>
        <v>0</v>
      </c>
      <c r="E151" cm="1">
        <f t="array" ref="E151">INDEX(Sheet2!$D$301:$Z$301, COLUMN(C1))</f>
        <v>0</v>
      </c>
      <c r="F151" cm="1">
        <f t="array" ref="F151">INDEX(Sheet2!$D$301:$Z$301, COLUMN(D1))</f>
        <v>0</v>
      </c>
      <c r="G151" cm="1">
        <f t="array" ref="G151">INDEX(Sheet2!$D$301:$Z$301, COLUMN(E1))</f>
        <v>0</v>
      </c>
      <c r="H151" cm="1">
        <f t="array" ref="H151">INDEX(Sheet2!$D$301:$Z$301, COLUMN(F1))</f>
        <v>0</v>
      </c>
      <c r="I151" cm="1">
        <f t="array" ref="I151">INDEX(Sheet2!$D$301:$Z$301, COLUMN(G1))</f>
        <v>0</v>
      </c>
      <c r="J151" cm="1">
        <f t="array" ref="J151">INDEX(Sheet2!$D$301:$Z$301, COLUMN(H1))</f>
        <v>0</v>
      </c>
      <c r="K151" cm="1">
        <f t="array" ref="K151">INDEX(Sheet2!$D$301:$Z$301, COLUMN(I1))</f>
        <v>0</v>
      </c>
      <c r="L151" cm="1">
        <f t="array" ref="L151">INDEX(Sheet2!$D$301:$Z$301, COLUMN(J1))</f>
        <v>0</v>
      </c>
      <c r="M151" cm="1">
        <f t="array" ref="M151">INDEX(Sheet2!$D$301:$Z$301, COLUMN(K1))</f>
        <v>0</v>
      </c>
      <c r="N151" cm="1">
        <f t="array" ref="N151">INDEX(Sheet2!$D$301:$Z$301, COLUMN(L1))</f>
        <v>0</v>
      </c>
      <c r="O151" cm="1">
        <f t="array" ref="O151">INDEX(Sheet2!$D$301:$Z$301, COLUMN(M1))</f>
        <v>0</v>
      </c>
      <c r="P151" cm="1">
        <f t="array" ref="P151">INDEX(Sheet2!$D$301:$Z$301, COLUMN(N1))</f>
        <v>0</v>
      </c>
      <c r="Q151" cm="1">
        <f t="array" ref="Q151">INDEX(Sheet2!$D$301:$Z$301, COLUMN(O1))</f>
        <v>0</v>
      </c>
      <c r="R151" cm="1">
        <f t="array" ref="R151">INDEX(Sheet2!$D$301:$Z$301, COLUMN(P1))</f>
        <v>0</v>
      </c>
      <c r="S151" cm="1">
        <f t="array" ref="S151">INDEX(Sheet2!$D$301:$Z$301, COLUMN(Q1))</f>
        <v>0</v>
      </c>
    </row>
    <row r="152" spans="2:24" x14ac:dyDescent="0.25">
      <c r="L152" t="s">
        <v>99</v>
      </c>
      <c r="N152" t="s">
        <v>106</v>
      </c>
      <c r="P152" t="s">
        <v>101</v>
      </c>
      <c r="R152" t="s">
        <v>107</v>
      </c>
      <c r="T152" t="s">
        <v>100</v>
      </c>
      <c r="V152" t="s">
        <v>102</v>
      </c>
      <c r="X152" t="s">
        <v>105</v>
      </c>
    </row>
    <row r="153" spans="2:24" x14ac:dyDescent="0.25">
      <c r="L153">
        <f ca="1">R153+X153</f>
        <v>0</v>
      </c>
      <c r="N153">
        <f ca="1">P153+T153+V153</f>
        <v>0</v>
      </c>
      <c r="P153" cm="1">
        <f t="array" aca="1" ref="P153" ca="1">INDEX($C$42:$X$42, ROW(A1))</f>
        <v>0</v>
      </c>
      <c r="R153" cm="1">
        <f t="array" aca="1" ref="R153" ca="1">INDEX($C$143:$X$143, ROW(A1))</f>
        <v>0</v>
      </c>
      <c r="T153" cm="1">
        <f t="array" aca="1" ref="T153:T165" ca="1">TRANSPOSE('Score Board'!C42:O42)</f>
        <v>0</v>
      </c>
      <c r="U153" t="str" cm="1">
        <f t="array" aca="1" ref="U153" ca="1">INDEX('Score Board'!$C$32:$I$42, INT((ROW(A1)-1)/COLUMNS('Score Board'!$C$32:$I$42))+1, MOD(ROW(A1)-1, COLUMNS('Score Board'!$C$32:$I$42))+1)</f>
        <v/>
      </c>
      <c r="V153" cm="1">
        <f t="array" ref="V153">INDEX($C$148:$X148, ROW(A1))</f>
        <v>0</v>
      </c>
      <c r="X153" cm="1">
        <f t="array" ref="X153">INDEX($C$151:$X151, ROW(A1))</f>
        <v>0</v>
      </c>
    </row>
    <row r="154" spans="2:24" x14ac:dyDescent="0.25">
      <c r="L154">
        <f t="shared" ref="L154:L158" ca="1" si="15">R154+X154</f>
        <v>0</v>
      </c>
      <c r="N154">
        <f t="shared" ref="N154:N162" ca="1" si="16">P154+T154+V154</f>
        <v>0</v>
      </c>
      <c r="P154" cm="1">
        <f t="array" aca="1" ref="P154" ca="1">INDEX($C$42:$X$42, ROW(A2))</f>
        <v>0</v>
      </c>
      <c r="R154" cm="1">
        <f t="array" aca="1" ref="R154" ca="1">INDEX($C$143:$X$143, ROW(A2))</f>
        <v>0</v>
      </c>
      <c r="T154">
        <f ca="1"/>
        <v>0</v>
      </c>
      <c r="U154" t="str" cm="1">
        <f t="array" aca="1" ref="U154" ca="1">INDEX('Score Board'!$C$32:$I$42, INT((ROW(A2)-1)/COLUMNS('Score Board'!$C$32:$I$42))+1, MOD(ROW(A2)-1, COLUMNS('Score Board'!$C$32:$I$42))+1)</f>
        <v/>
      </c>
      <c r="V154" cm="1">
        <f t="array" ref="V154">INDEX($C$148:$X148, ROW(A2))</f>
        <v>0</v>
      </c>
      <c r="X154" cm="1">
        <f t="array" ref="X154">INDEX($C$151:$X151, ROW(A2))</f>
        <v>0</v>
      </c>
    </row>
    <row r="155" spans="2:24" x14ac:dyDescent="0.25">
      <c r="L155">
        <f t="shared" ca="1" si="15"/>
        <v>0</v>
      </c>
      <c r="N155">
        <f t="shared" ca="1" si="16"/>
        <v>0</v>
      </c>
      <c r="P155" cm="1">
        <f t="array" aca="1" ref="P155" ca="1">INDEX($C$42:$X$42, ROW(A3))</f>
        <v>0</v>
      </c>
      <c r="R155" cm="1">
        <f t="array" aca="1" ref="R155" ca="1">INDEX($C$143:$X$143, ROW(A3))</f>
        <v>0</v>
      </c>
      <c r="T155">
        <f ca="1"/>
        <v>0</v>
      </c>
      <c r="U155" t="str" cm="1">
        <f t="array" aca="1" ref="U155" ca="1">INDEX('Score Board'!$C$32:$I$42, INT((ROW(A3)-1)/COLUMNS('Score Board'!$C$32:$I$42))+1, MOD(ROW(A3)-1, COLUMNS('Score Board'!$C$32:$I$42))+1)</f>
        <v/>
      </c>
      <c r="V155" cm="1">
        <f t="array" ref="V155">INDEX($C$148:$X148, ROW(A3))</f>
        <v>0</v>
      </c>
      <c r="X155" cm="1">
        <f t="array" ref="X155">INDEX($C$151:$X151, ROW(A3))</f>
        <v>0</v>
      </c>
    </row>
    <row r="156" spans="2:24" x14ac:dyDescent="0.25">
      <c r="L156">
        <f t="shared" ca="1" si="15"/>
        <v>0</v>
      </c>
      <c r="N156">
        <f t="shared" ca="1" si="16"/>
        <v>0</v>
      </c>
      <c r="P156" cm="1">
        <f t="array" aca="1" ref="P156" ca="1">INDEX($C$42:$X$42, ROW(A4))</f>
        <v>0</v>
      </c>
      <c r="R156" cm="1">
        <f t="array" aca="1" ref="R156" ca="1">INDEX($C$143:$X$143, ROW(A4))</f>
        <v>0</v>
      </c>
      <c r="T156">
        <f ca="1"/>
        <v>0</v>
      </c>
      <c r="U156" t="str" cm="1">
        <f t="array" aca="1" ref="U156" ca="1">INDEX('Score Board'!$C$32:$I$42, INT((ROW(A4)-1)/COLUMNS('Score Board'!$C$32:$I$42))+1, MOD(ROW(A4)-1, COLUMNS('Score Board'!$C$32:$I$42))+1)</f>
        <v/>
      </c>
      <c r="V156" cm="1">
        <f t="array" ref="V156">INDEX($C$148:$X148, ROW(A4))</f>
        <v>0</v>
      </c>
      <c r="X156" cm="1">
        <f t="array" ref="X156">INDEX($C$151:$X151, ROW(A4))</f>
        <v>0</v>
      </c>
    </row>
    <row r="157" spans="2:24" x14ac:dyDescent="0.25">
      <c r="L157">
        <f t="shared" ca="1" si="15"/>
        <v>0</v>
      </c>
      <c r="N157">
        <f t="shared" ca="1" si="16"/>
        <v>0</v>
      </c>
      <c r="P157" cm="1">
        <f t="array" aca="1" ref="P157" ca="1">INDEX($C$42:$X$42, ROW(A5))</f>
        <v>0</v>
      </c>
      <c r="R157" cm="1">
        <f t="array" aca="1" ref="R157" ca="1">INDEX($C$143:$X$143, ROW(A5))</f>
        <v>0</v>
      </c>
      <c r="T157">
        <f ca="1"/>
        <v>0</v>
      </c>
      <c r="U157" t="str" cm="1">
        <f t="array" aca="1" ref="U157" ca="1">INDEX('Score Board'!$C$32:$I$42, INT((ROW(A5)-1)/COLUMNS('Score Board'!$C$32:$I$42))+1, MOD(ROW(A5)-1, COLUMNS('Score Board'!$C$32:$I$42))+1)</f>
        <v/>
      </c>
      <c r="V157" cm="1">
        <f t="array" ref="V157">INDEX($C$148:$X148, ROW(A5))</f>
        <v>0</v>
      </c>
      <c r="X157" cm="1">
        <f t="array" ref="X157">INDEX($C$151:$X151, ROW(A5))</f>
        <v>0</v>
      </c>
    </row>
    <row r="158" spans="2:24" x14ac:dyDescent="0.25">
      <c r="L158">
        <f t="shared" ca="1" si="15"/>
        <v>0</v>
      </c>
      <c r="N158">
        <f t="shared" ca="1" si="16"/>
        <v>0</v>
      </c>
      <c r="P158" cm="1">
        <f t="array" aca="1" ref="P158" ca="1">INDEX($C$42:$X$42, ROW(A6))</f>
        <v>0</v>
      </c>
      <c r="R158" cm="1">
        <f t="array" aca="1" ref="R158" ca="1">INDEX($C$143:$X$143, ROW(A6))</f>
        <v>0</v>
      </c>
      <c r="T158">
        <f ca="1"/>
        <v>0</v>
      </c>
      <c r="U158" t="str" cm="1">
        <f t="array" aca="1" ref="U158" ca="1">INDEX('Score Board'!$C$32:$I$42, INT((ROW(A6)-1)/COLUMNS('Score Board'!$C$32:$I$42))+1, MOD(ROW(A6)-1, COLUMNS('Score Board'!$C$32:$I$42))+1)</f>
        <v/>
      </c>
      <c r="V158" cm="1">
        <f t="array" ref="V158">INDEX($C$148:$X148, ROW(A6))</f>
        <v>0</v>
      </c>
      <c r="X158" cm="1">
        <f t="array" ref="X158">INDEX($C$151:$X151, ROW(A6))</f>
        <v>0</v>
      </c>
    </row>
    <row r="159" spans="2:24" x14ac:dyDescent="0.25">
      <c r="L159">
        <f ca="1">R159+X159</f>
        <v>0</v>
      </c>
      <c r="N159">
        <f t="shared" ca="1" si="16"/>
        <v>0</v>
      </c>
      <c r="P159" cm="1">
        <f t="array" aca="1" ref="P159" ca="1">INDEX($C$42:$X$42, ROW(A7))</f>
        <v>0</v>
      </c>
      <c r="R159" cm="1">
        <f t="array" aca="1" ref="R159" ca="1">INDEX($C$143:$X$143, ROW(A7))</f>
        <v>0</v>
      </c>
      <c r="T159">
        <f ca="1"/>
        <v>0</v>
      </c>
      <c r="U159" t="str" cm="1">
        <f t="array" aca="1" ref="U159" ca="1">INDEX('Score Board'!$C$32:$I$42, INT((ROW(A7)-1)/COLUMNS('Score Board'!$C$32:$I$42))+1, MOD(ROW(A7)-1, COLUMNS('Score Board'!$C$32:$I$42))+1)</f>
        <v/>
      </c>
      <c r="V159" cm="1">
        <f t="array" ref="V159">INDEX($C$148:$X148, ROW(A7))</f>
        <v>0</v>
      </c>
      <c r="X159" cm="1">
        <f t="array" ref="X159">INDEX($C$151:$X151, ROW(A7))</f>
        <v>0</v>
      </c>
    </row>
    <row r="160" spans="2:24" x14ac:dyDescent="0.25">
      <c r="L160">
        <f t="shared" ref="L160:L165" ca="1" si="17">R160+X160</f>
        <v>0</v>
      </c>
      <c r="N160">
        <f ca="1">P160+T160+V160</f>
        <v>0</v>
      </c>
      <c r="P160" cm="1">
        <f t="array" aca="1" ref="P160" ca="1">INDEX($C$42:$X$42, ROW(A8))</f>
        <v>0</v>
      </c>
      <c r="R160" cm="1">
        <f t="array" aca="1" ref="R160" ca="1">INDEX($C$143:$X$143, ROW(A8))</f>
        <v>0</v>
      </c>
      <c r="T160">
        <f ca="1"/>
        <v>0</v>
      </c>
      <c r="V160" cm="1">
        <f t="array" ref="V160">INDEX($C$148:$X148, ROW(A8))</f>
        <v>0</v>
      </c>
      <c r="X160" cm="1">
        <f t="array" ref="X160">INDEX($C$151:$X151, ROW(A8))</f>
        <v>0</v>
      </c>
    </row>
    <row r="161" spans="12:24" x14ac:dyDescent="0.25">
      <c r="L161">
        <f t="shared" ca="1" si="17"/>
        <v>0</v>
      </c>
      <c r="N161">
        <f t="shared" ca="1" si="16"/>
        <v>0</v>
      </c>
      <c r="P161" cm="1">
        <f t="array" aca="1" ref="P161" ca="1">INDEX($C$42:$X$42, ROW(A9))</f>
        <v>0</v>
      </c>
      <c r="R161" cm="1">
        <f t="array" aca="1" ref="R161" ca="1">INDEX($C$143:$X$143, ROW(A9))</f>
        <v>0</v>
      </c>
      <c r="T161">
        <f ca="1"/>
        <v>0</v>
      </c>
      <c r="V161" cm="1">
        <f t="array" ref="V161">INDEX($C$148:$X148, ROW(A9))</f>
        <v>0</v>
      </c>
      <c r="X161" cm="1">
        <f t="array" ref="X161">INDEX($C151:$X$151, ROW(A9))</f>
        <v>0</v>
      </c>
    </row>
    <row r="162" spans="12:24" x14ac:dyDescent="0.25">
      <c r="L162">
        <f t="shared" ca="1" si="17"/>
        <v>0</v>
      </c>
      <c r="N162">
        <f t="shared" ca="1" si="16"/>
        <v>0</v>
      </c>
      <c r="P162" cm="1">
        <f t="array" aca="1" ref="P162" ca="1">INDEX($C$42:$X$42, ROW(A10))</f>
        <v>0</v>
      </c>
      <c r="R162" cm="1">
        <f t="array" aca="1" ref="R162" ca="1">INDEX($C$143:$X$143, ROW(A10))</f>
        <v>0</v>
      </c>
      <c r="T162">
        <f ca="1"/>
        <v>0</v>
      </c>
      <c r="V162" cm="1">
        <f t="array" ref="V162">INDEX($C$148:$X148, ROW(A10))</f>
        <v>0</v>
      </c>
      <c r="X162" cm="1">
        <f t="array" ref="X162">INDEX($C$151:$X151, ROW(A10))</f>
        <v>0</v>
      </c>
    </row>
    <row r="163" spans="12:24" x14ac:dyDescent="0.25">
      <c r="L163">
        <f t="shared" ca="1" si="17"/>
        <v>0</v>
      </c>
      <c r="N163">
        <f ca="1">P163+T163+V163</f>
        <v>0</v>
      </c>
      <c r="P163" cm="1">
        <f t="array" aca="1" ref="P163" ca="1">INDEX($C$42:$X$42, ROW(A11))</f>
        <v>0</v>
      </c>
      <c r="R163" cm="1">
        <f t="array" aca="1" ref="R163" ca="1">INDEX($C$143:$X$143, ROW(A11))</f>
        <v>0</v>
      </c>
      <c r="T163">
        <f ca="1"/>
        <v>0</v>
      </c>
      <c r="V163" cm="1">
        <f t="array" ref="V163">INDEX($C$148:$X148, ROW(A11))</f>
        <v>0</v>
      </c>
      <c r="X163" cm="1">
        <f t="array" ref="X163">INDEX($C$151:$X151, ROW(A11))</f>
        <v>0</v>
      </c>
    </row>
    <row r="164" spans="12:24" x14ac:dyDescent="0.25">
      <c r="L164">
        <f t="shared" ca="1" si="17"/>
        <v>0</v>
      </c>
      <c r="N164">
        <f t="shared" ref="N164:N165" ca="1" si="18">P164+T164+V164</f>
        <v>0</v>
      </c>
      <c r="P164" cm="1">
        <f t="array" aca="1" ref="P164" ca="1">INDEX($C$42:$X$42, ROW(A12))</f>
        <v>0</v>
      </c>
      <c r="R164" cm="1">
        <f t="array" aca="1" ref="R164" ca="1">INDEX($C$143:$X$143, ROW(A12))</f>
        <v>0</v>
      </c>
      <c r="T164">
        <f ca="1"/>
        <v>0</v>
      </c>
      <c r="V164" cm="1">
        <f t="array" ref="V164">INDEX($C$148:$X148, ROW(A12))</f>
        <v>0</v>
      </c>
      <c r="X164" cm="1">
        <f t="array" ref="X164">INDEX($C$151:$X151, ROW(A12))</f>
        <v>0</v>
      </c>
    </row>
    <row r="165" spans="12:24" x14ac:dyDescent="0.25">
      <c r="L165">
        <f t="shared" ca="1" si="17"/>
        <v>0</v>
      </c>
      <c r="N165">
        <f t="shared" ca="1" si="18"/>
        <v>0</v>
      </c>
      <c r="P165" cm="1">
        <f t="array" aca="1" ref="P165" ca="1">INDEX($C$42:$X$42, ROW(A13))</f>
        <v>0</v>
      </c>
      <c r="R165" cm="1">
        <f t="array" aca="1" ref="R165" ca="1">INDEX($C$143:$X$143, ROW(A13))</f>
        <v>0</v>
      </c>
      <c r="T165">
        <f ca="1"/>
        <v>0</v>
      </c>
      <c r="V165" cm="1">
        <f t="array" ref="V165">INDEX($C$148:$X148, ROW(A13))</f>
        <v>0</v>
      </c>
      <c r="X165" cm="1">
        <f t="array" ref="X165">INDEX($C$151:$X151, ROW(A13))</f>
        <v>0</v>
      </c>
    </row>
    <row r="174" spans="12:24" x14ac:dyDescent="0.25">
      <c r="M174" t="s">
        <v>0</v>
      </c>
    </row>
    <row r="175" spans="12:24" x14ac:dyDescent="0.25">
      <c r="M175" t="s">
        <v>108</v>
      </c>
    </row>
    <row r="176" spans="12:24" x14ac:dyDescent="0.25">
      <c r="M176" t="s">
        <v>3</v>
      </c>
    </row>
    <row r="177" spans="13:13" x14ac:dyDescent="0.25">
      <c r="M177" t="s">
        <v>115</v>
      </c>
    </row>
    <row r="178" spans="13:13" x14ac:dyDescent="0.25">
      <c r="M178" t="s">
        <v>53</v>
      </c>
    </row>
    <row r="179" spans="13:13" x14ac:dyDescent="0.25">
      <c r="M179" t="s">
        <v>109</v>
      </c>
    </row>
    <row r="180" spans="13:13" x14ac:dyDescent="0.25">
      <c r="M180" t="s">
        <v>2</v>
      </c>
    </row>
    <row r="181" spans="13:13" x14ac:dyDescent="0.25">
      <c r="M181" t="s">
        <v>5</v>
      </c>
    </row>
    <row r="182" spans="13:13" x14ac:dyDescent="0.25">
      <c r="M182" t="s">
        <v>54</v>
      </c>
    </row>
    <row r="183" spans="13:13" x14ac:dyDescent="0.25">
      <c r="M183" t="s">
        <v>113</v>
      </c>
    </row>
    <row r="184" spans="13:13" x14ac:dyDescent="0.25">
      <c r="M184" t="s">
        <v>112</v>
      </c>
    </row>
    <row r="185" spans="13:13" x14ac:dyDescent="0.25">
      <c r="M185" t="s">
        <v>110</v>
      </c>
    </row>
    <row r="186" spans="13:13" x14ac:dyDescent="0.25">
      <c r="M186" t="s">
        <v>116</v>
      </c>
    </row>
  </sheetData>
  <sortState xmlns:xlrd2="http://schemas.microsoft.com/office/spreadsheetml/2017/richdata2" ref="M174:M186">
    <sortCondition ref="M174:M18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5447-73F1-4B06-AE05-E742175C460D}">
  <dimension ref="A3:W137"/>
  <sheetViews>
    <sheetView workbookViewId="0">
      <selection activeCell="C14" sqref="C14:I18"/>
    </sheetView>
  </sheetViews>
  <sheetFormatPr defaultRowHeight="15" x14ac:dyDescent="0.25"/>
  <cols>
    <col min="3" max="3" width="17.140625" customWidth="1"/>
    <col min="11" max="12" width="9.140625" customWidth="1"/>
  </cols>
  <sheetData>
    <row r="3" spans="1:23" ht="18.75" x14ac:dyDescent="0.25">
      <c r="A3" s="12" t="s">
        <v>6</v>
      </c>
      <c r="C3" s="1"/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O3" s="12" t="s">
        <v>24</v>
      </c>
      <c r="Q3" s="1"/>
      <c r="R3" s="1" t="s">
        <v>0</v>
      </c>
      <c r="S3" s="1" t="s">
        <v>1</v>
      </c>
      <c r="T3" s="1" t="s">
        <v>2</v>
      </c>
      <c r="U3" s="1" t="s">
        <v>3</v>
      </c>
      <c r="V3" s="1" t="s">
        <v>4</v>
      </c>
      <c r="W3" s="1" t="s">
        <v>5</v>
      </c>
    </row>
    <row r="4" spans="1:23" ht="18.75" x14ac:dyDescent="0.25">
      <c r="A4" s="12"/>
      <c r="C4" s="1"/>
      <c r="D4" s="3"/>
      <c r="E4" s="3"/>
      <c r="F4" s="3"/>
      <c r="G4" s="3"/>
      <c r="H4" s="3"/>
      <c r="I4" s="3"/>
      <c r="O4" s="12"/>
      <c r="Q4" s="1"/>
      <c r="R4" s="3"/>
      <c r="S4" s="3"/>
      <c r="T4" s="3"/>
      <c r="U4" s="3"/>
      <c r="V4" s="3"/>
      <c r="W4" s="3"/>
    </row>
    <row r="5" spans="1:23" ht="18.75" x14ac:dyDescent="0.25">
      <c r="A5" s="12"/>
      <c r="C5" s="1"/>
      <c r="D5" s="3"/>
      <c r="E5" s="3"/>
      <c r="F5" s="3"/>
      <c r="G5" s="3"/>
      <c r="H5" s="3"/>
      <c r="I5" s="3"/>
      <c r="O5" s="12"/>
      <c r="Q5" s="1"/>
      <c r="R5" s="3"/>
      <c r="S5" s="3"/>
      <c r="T5" s="3"/>
      <c r="U5" s="3"/>
      <c r="V5" s="3"/>
      <c r="W5" s="3"/>
    </row>
    <row r="6" spans="1:23" ht="18.75" x14ac:dyDescent="0.25">
      <c r="A6" s="12"/>
      <c r="C6" s="1"/>
      <c r="D6" s="3"/>
      <c r="E6" s="3"/>
      <c r="F6" s="3"/>
      <c r="G6" s="3"/>
      <c r="H6" s="3"/>
      <c r="I6" s="3"/>
      <c r="O6" s="12"/>
      <c r="Q6" s="1"/>
      <c r="R6" s="3"/>
      <c r="S6" s="3"/>
      <c r="T6" s="3"/>
      <c r="U6" s="3"/>
      <c r="V6" s="3"/>
      <c r="W6" s="3"/>
    </row>
    <row r="7" spans="1:23" ht="18.75" x14ac:dyDescent="0.25">
      <c r="A7" s="12"/>
      <c r="C7" s="1"/>
      <c r="D7" s="1">
        <v>1</v>
      </c>
      <c r="E7" s="1">
        <v>1</v>
      </c>
      <c r="F7" s="1">
        <v>2</v>
      </c>
      <c r="G7" s="1">
        <v>54</v>
      </c>
      <c r="H7" s="1">
        <v>45</v>
      </c>
      <c r="I7" s="1">
        <v>74</v>
      </c>
      <c r="O7" s="12"/>
      <c r="Q7" s="1" t="s">
        <v>43</v>
      </c>
      <c r="R7" s="1"/>
      <c r="S7" s="1"/>
      <c r="T7" s="1"/>
      <c r="U7" s="1"/>
      <c r="V7" s="1"/>
      <c r="W7" s="1"/>
    </row>
    <row r="8" spans="1:23" x14ac:dyDescent="0.25">
      <c r="A8" s="12"/>
      <c r="O8" s="12"/>
    </row>
    <row r="9" spans="1:23" x14ac:dyDescent="0.25">
      <c r="A9" s="12"/>
      <c r="O9" s="12"/>
    </row>
    <row r="10" spans="1:23" ht="18.75" x14ac:dyDescent="0.25">
      <c r="A10" s="12"/>
      <c r="C10" s="1" t="s">
        <v>44</v>
      </c>
      <c r="D10" s="2" t="s">
        <v>46</v>
      </c>
      <c r="O10" s="12"/>
    </row>
    <row r="11" spans="1:23" ht="18.75" x14ac:dyDescent="0.25">
      <c r="A11" s="12"/>
      <c r="C11" s="1" t="s">
        <v>45</v>
      </c>
      <c r="D11" s="2" t="s">
        <v>47</v>
      </c>
      <c r="O11" s="12"/>
    </row>
    <row r="12" spans="1:23" x14ac:dyDescent="0.25">
      <c r="A12" s="12"/>
      <c r="O12" s="12"/>
    </row>
    <row r="13" spans="1:23" x14ac:dyDescent="0.25">
      <c r="A13" s="12"/>
      <c r="O13" s="12"/>
    </row>
    <row r="14" spans="1:23" ht="18.75" x14ac:dyDescent="0.25">
      <c r="A14" s="12" t="s">
        <v>7</v>
      </c>
      <c r="C14" s="1"/>
      <c r="D14" s="1" t="s">
        <v>0</v>
      </c>
      <c r="E14" s="1" t="s">
        <v>1</v>
      </c>
      <c r="F14" s="1" t="s">
        <v>2</v>
      </c>
      <c r="G14" s="1" t="s">
        <v>3</v>
      </c>
      <c r="H14" s="1" t="s">
        <v>4</v>
      </c>
      <c r="I14" s="1" t="s">
        <v>5</v>
      </c>
      <c r="O14" s="12" t="s">
        <v>25</v>
      </c>
      <c r="Q14" s="1"/>
      <c r="R14" s="1" t="s">
        <v>0</v>
      </c>
      <c r="S14" s="1" t="s">
        <v>1</v>
      </c>
      <c r="T14" s="1" t="s">
        <v>2</v>
      </c>
      <c r="U14" s="1" t="s">
        <v>3</v>
      </c>
      <c r="V14" s="1" t="s">
        <v>4</v>
      </c>
      <c r="W14" s="1" t="s">
        <v>5</v>
      </c>
    </row>
    <row r="15" spans="1:23" ht="18.75" x14ac:dyDescent="0.25">
      <c r="A15" s="12"/>
      <c r="C15" s="1"/>
      <c r="D15" s="3"/>
      <c r="E15" s="3"/>
      <c r="F15" s="3"/>
      <c r="G15" s="3"/>
      <c r="H15" s="3"/>
      <c r="I15" s="3"/>
      <c r="O15" s="12"/>
      <c r="Q15" s="1"/>
      <c r="R15" s="3"/>
      <c r="S15" s="3"/>
      <c r="T15" s="3"/>
      <c r="U15" s="3"/>
      <c r="V15" s="3"/>
      <c r="W15" s="3"/>
    </row>
    <row r="16" spans="1:23" ht="18.75" x14ac:dyDescent="0.25">
      <c r="A16" s="12"/>
      <c r="C16" s="1"/>
      <c r="D16" s="3"/>
      <c r="E16" s="3"/>
      <c r="F16" s="3"/>
      <c r="G16" s="3"/>
      <c r="H16" s="3"/>
      <c r="I16" s="3"/>
      <c r="O16" s="12"/>
      <c r="Q16" s="1"/>
      <c r="R16" s="3"/>
      <c r="S16" s="3"/>
      <c r="T16" s="3"/>
      <c r="U16" s="3"/>
      <c r="V16" s="3"/>
      <c r="W16" s="3"/>
    </row>
    <row r="17" spans="1:23" ht="18.75" x14ac:dyDescent="0.25">
      <c r="A17" s="12"/>
      <c r="C17" s="1"/>
      <c r="D17" s="3"/>
      <c r="E17" s="3"/>
      <c r="F17" s="3"/>
      <c r="G17" s="3"/>
      <c r="H17" s="3"/>
      <c r="I17" s="3"/>
      <c r="O17" s="12"/>
      <c r="Q17" s="1"/>
      <c r="R17" s="3"/>
      <c r="S17" s="3"/>
      <c r="T17" s="3"/>
      <c r="U17" s="3"/>
      <c r="V17" s="3"/>
      <c r="W17" s="3"/>
    </row>
    <row r="18" spans="1:23" ht="18.75" x14ac:dyDescent="0.25">
      <c r="A18" s="12"/>
      <c r="C18" s="1"/>
      <c r="D18" s="1"/>
      <c r="E18" s="1"/>
      <c r="F18" s="1"/>
      <c r="G18" s="1"/>
      <c r="H18" s="1"/>
      <c r="I18" s="1"/>
      <c r="O18" s="12"/>
      <c r="Q18" s="1" t="s">
        <v>43</v>
      </c>
      <c r="R18" s="1"/>
      <c r="S18" s="1"/>
      <c r="T18" s="1"/>
      <c r="U18" s="1"/>
      <c r="V18" s="1"/>
      <c r="W18" s="1"/>
    </row>
    <row r="19" spans="1:23" x14ac:dyDescent="0.25">
      <c r="A19" s="12"/>
      <c r="O19" s="12"/>
    </row>
    <row r="20" spans="1:23" x14ac:dyDescent="0.25">
      <c r="A20" s="12"/>
      <c r="O20" s="12"/>
    </row>
    <row r="21" spans="1:23" ht="18.75" x14ac:dyDescent="0.25">
      <c r="A21" s="12" t="s">
        <v>8</v>
      </c>
      <c r="C21" s="1"/>
      <c r="D21" s="1" t="s">
        <v>0</v>
      </c>
      <c r="E21" s="1" t="s">
        <v>1</v>
      </c>
      <c r="F21" s="1" t="s">
        <v>2</v>
      </c>
      <c r="G21" s="1" t="s">
        <v>3</v>
      </c>
      <c r="H21" s="1" t="s">
        <v>4</v>
      </c>
      <c r="I21" s="1" t="s">
        <v>5</v>
      </c>
      <c r="O21" s="12" t="s">
        <v>26</v>
      </c>
      <c r="Q21" s="1"/>
      <c r="R21" s="1" t="s">
        <v>0</v>
      </c>
      <c r="S21" s="1" t="s">
        <v>1</v>
      </c>
      <c r="T21" s="1" t="s">
        <v>2</v>
      </c>
      <c r="U21" s="1" t="s">
        <v>3</v>
      </c>
      <c r="V21" s="1" t="s">
        <v>4</v>
      </c>
      <c r="W21" s="1" t="s">
        <v>5</v>
      </c>
    </row>
    <row r="22" spans="1:23" ht="18.75" x14ac:dyDescent="0.25">
      <c r="A22" s="12"/>
      <c r="C22" s="1"/>
      <c r="D22" s="3"/>
      <c r="E22" s="3"/>
      <c r="F22" s="3"/>
      <c r="G22" s="3"/>
      <c r="H22" s="3"/>
      <c r="I22" s="3"/>
      <c r="O22" s="12"/>
      <c r="Q22" s="1"/>
      <c r="R22" s="3"/>
      <c r="S22" s="3"/>
      <c r="T22" s="3"/>
      <c r="U22" s="3"/>
      <c r="V22" s="3"/>
      <c r="W22" s="3"/>
    </row>
    <row r="23" spans="1:23" ht="18.75" x14ac:dyDescent="0.25">
      <c r="A23" s="12"/>
      <c r="C23" s="1"/>
      <c r="D23" s="3"/>
      <c r="E23" s="3"/>
      <c r="F23" s="3"/>
      <c r="G23" s="3"/>
      <c r="H23" s="3"/>
      <c r="I23" s="3"/>
      <c r="O23" s="12"/>
      <c r="Q23" s="1"/>
      <c r="R23" s="3"/>
      <c r="S23" s="3"/>
      <c r="T23" s="3"/>
      <c r="U23" s="3"/>
      <c r="V23" s="3"/>
      <c r="W23" s="3"/>
    </row>
    <row r="24" spans="1:23" ht="18.75" x14ac:dyDescent="0.25">
      <c r="A24" s="12"/>
      <c r="C24" s="1"/>
      <c r="D24" s="3"/>
      <c r="E24" s="3"/>
      <c r="F24" s="3"/>
      <c r="G24" s="3"/>
      <c r="H24" s="3"/>
      <c r="I24" s="3"/>
      <c r="O24" s="12"/>
      <c r="Q24" s="1"/>
      <c r="R24" s="3"/>
      <c r="S24" s="3"/>
      <c r="T24" s="3"/>
      <c r="U24" s="3"/>
      <c r="V24" s="3"/>
      <c r="W24" s="3"/>
    </row>
    <row r="25" spans="1:23" ht="18.75" x14ac:dyDescent="0.25">
      <c r="A25" s="12"/>
      <c r="C25" s="1" t="s">
        <v>43</v>
      </c>
      <c r="D25" s="1"/>
      <c r="E25" s="1"/>
      <c r="F25" s="1"/>
      <c r="G25" s="1"/>
      <c r="H25" s="1"/>
      <c r="I25" s="1"/>
      <c r="O25" s="12"/>
      <c r="Q25" s="1" t="s">
        <v>43</v>
      </c>
      <c r="R25" s="1"/>
      <c r="S25" s="1"/>
      <c r="T25" s="1"/>
      <c r="U25" s="1"/>
      <c r="V25" s="1"/>
      <c r="W25" s="1"/>
    </row>
    <row r="26" spans="1:23" x14ac:dyDescent="0.25">
      <c r="A26" s="12"/>
      <c r="O26" s="12"/>
    </row>
    <row r="27" spans="1:23" x14ac:dyDescent="0.25">
      <c r="A27" s="12"/>
      <c r="O27" s="12"/>
    </row>
    <row r="28" spans="1:23" ht="18.75" x14ac:dyDescent="0.25">
      <c r="A28" s="12" t="s">
        <v>9</v>
      </c>
      <c r="C28" s="1"/>
      <c r="D28" s="1" t="s">
        <v>0</v>
      </c>
      <c r="E28" s="1" t="s">
        <v>1</v>
      </c>
      <c r="F28" s="1" t="s">
        <v>2</v>
      </c>
      <c r="G28" s="1" t="s">
        <v>3</v>
      </c>
      <c r="H28" s="1" t="s">
        <v>4</v>
      </c>
      <c r="I28" s="1" t="s">
        <v>5</v>
      </c>
      <c r="O28" s="12" t="s">
        <v>27</v>
      </c>
      <c r="Q28" s="1"/>
      <c r="R28" s="1" t="s">
        <v>0</v>
      </c>
      <c r="S28" s="1" t="s">
        <v>1</v>
      </c>
      <c r="T28" s="1" t="s">
        <v>2</v>
      </c>
      <c r="U28" s="1" t="s">
        <v>3</v>
      </c>
      <c r="V28" s="1" t="s">
        <v>4</v>
      </c>
      <c r="W28" s="1" t="s">
        <v>5</v>
      </c>
    </row>
    <row r="29" spans="1:23" ht="18.75" x14ac:dyDescent="0.25">
      <c r="A29" s="12"/>
      <c r="C29" s="1"/>
      <c r="D29" s="3"/>
      <c r="E29" s="3"/>
      <c r="F29" s="3"/>
      <c r="G29" s="3"/>
      <c r="H29" s="3"/>
      <c r="I29" s="3"/>
      <c r="O29" s="12"/>
      <c r="Q29" s="1"/>
      <c r="R29" s="3"/>
      <c r="S29" s="3"/>
      <c r="T29" s="3"/>
      <c r="U29" s="3"/>
      <c r="V29" s="3"/>
      <c r="W29" s="3"/>
    </row>
    <row r="30" spans="1:23" ht="18.75" x14ac:dyDescent="0.25">
      <c r="A30" s="12"/>
      <c r="C30" s="1"/>
      <c r="D30" s="3"/>
      <c r="E30" s="3"/>
      <c r="F30" s="3"/>
      <c r="G30" s="3"/>
      <c r="H30" s="3"/>
      <c r="I30" s="3"/>
      <c r="O30" s="12"/>
      <c r="Q30" s="1"/>
      <c r="R30" s="3"/>
      <c r="S30" s="3"/>
      <c r="T30" s="3"/>
      <c r="U30" s="3"/>
      <c r="V30" s="3"/>
      <c r="W30" s="3"/>
    </row>
    <row r="31" spans="1:23" ht="18.75" x14ac:dyDescent="0.25">
      <c r="A31" s="12"/>
      <c r="C31" s="1"/>
      <c r="D31" s="3"/>
      <c r="E31" s="3"/>
      <c r="F31" s="3"/>
      <c r="G31" s="3"/>
      <c r="H31" s="3"/>
      <c r="I31" s="3"/>
      <c r="O31" s="12"/>
      <c r="Q31" s="1"/>
      <c r="R31" s="3"/>
      <c r="S31" s="3"/>
      <c r="T31" s="3"/>
      <c r="U31" s="3"/>
      <c r="V31" s="3"/>
      <c r="W31" s="3"/>
    </row>
    <row r="32" spans="1:23" ht="18.75" x14ac:dyDescent="0.25">
      <c r="A32" s="12"/>
      <c r="C32" s="1" t="s">
        <v>43</v>
      </c>
      <c r="D32" s="1"/>
      <c r="E32" s="1"/>
      <c r="F32" s="1"/>
      <c r="G32" s="1"/>
      <c r="H32" s="1"/>
      <c r="I32" s="1"/>
      <c r="O32" s="12"/>
      <c r="Q32" s="1" t="s">
        <v>43</v>
      </c>
      <c r="R32" s="1"/>
      <c r="S32" s="1"/>
      <c r="T32" s="1"/>
      <c r="U32" s="1"/>
      <c r="V32" s="1"/>
      <c r="W32" s="1"/>
    </row>
    <row r="33" spans="1:23" x14ac:dyDescent="0.25">
      <c r="A33" s="12"/>
      <c r="O33" s="12"/>
    </row>
    <row r="34" spans="1:23" x14ac:dyDescent="0.25">
      <c r="A34" s="12"/>
      <c r="O34" s="12"/>
    </row>
    <row r="35" spans="1:23" ht="18.75" x14ac:dyDescent="0.25">
      <c r="A35" s="12" t="s">
        <v>10</v>
      </c>
      <c r="C35" s="1"/>
      <c r="D35" s="1" t="s">
        <v>0</v>
      </c>
      <c r="E35" s="1" t="s">
        <v>1</v>
      </c>
      <c r="F35" s="1" t="s">
        <v>2</v>
      </c>
      <c r="G35" s="1" t="s">
        <v>3</v>
      </c>
      <c r="H35" s="1" t="s">
        <v>4</v>
      </c>
      <c r="I35" s="1" t="s">
        <v>5</v>
      </c>
      <c r="O35" s="12" t="s">
        <v>28</v>
      </c>
      <c r="Q35" s="1"/>
      <c r="R35" s="1" t="s">
        <v>0</v>
      </c>
      <c r="S35" s="1" t="s">
        <v>1</v>
      </c>
      <c r="T35" s="1" t="s">
        <v>2</v>
      </c>
      <c r="U35" s="1" t="s">
        <v>3</v>
      </c>
      <c r="V35" s="1" t="s">
        <v>4</v>
      </c>
      <c r="W35" s="1" t="s">
        <v>5</v>
      </c>
    </row>
    <row r="36" spans="1:23" ht="18.75" x14ac:dyDescent="0.25">
      <c r="A36" s="12"/>
      <c r="C36" s="1"/>
      <c r="D36" s="3"/>
      <c r="E36" s="3"/>
      <c r="F36" s="3"/>
      <c r="G36" s="3"/>
      <c r="H36" s="3"/>
      <c r="I36" s="3"/>
      <c r="O36" s="12"/>
      <c r="Q36" s="1"/>
      <c r="R36" s="3"/>
      <c r="S36" s="3"/>
      <c r="T36" s="3"/>
      <c r="U36" s="3"/>
      <c r="V36" s="3"/>
      <c r="W36" s="3"/>
    </row>
    <row r="37" spans="1:23" ht="18.75" x14ac:dyDescent="0.25">
      <c r="A37" s="12"/>
      <c r="C37" s="1"/>
      <c r="D37" s="3"/>
      <c r="E37" s="3"/>
      <c r="F37" s="3"/>
      <c r="G37" s="3"/>
      <c r="H37" s="3"/>
      <c r="I37" s="3"/>
      <c r="O37" s="12"/>
      <c r="Q37" s="1"/>
      <c r="R37" s="3"/>
      <c r="S37" s="3"/>
      <c r="T37" s="3"/>
      <c r="U37" s="3"/>
      <c r="V37" s="3"/>
      <c r="W37" s="3"/>
    </row>
    <row r="38" spans="1:23" ht="18.75" x14ac:dyDescent="0.25">
      <c r="A38" s="12"/>
      <c r="C38" s="1"/>
      <c r="D38" s="3"/>
      <c r="E38" s="3"/>
      <c r="F38" s="3"/>
      <c r="G38" s="3"/>
      <c r="H38" s="3"/>
      <c r="I38" s="3"/>
      <c r="O38" s="12"/>
      <c r="Q38" s="1"/>
      <c r="R38" s="3"/>
      <c r="S38" s="3"/>
      <c r="T38" s="3"/>
      <c r="U38" s="3"/>
      <c r="V38" s="3"/>
      <c r="W38" s="3"/>
    </row>
    <row r="39" spans="1:23" ht="18.75" x14ac:dyDescent="0.25">
      <c r="A39" s="12"/>
      <c r="C39" s="1" t="s">
        <v>43</v>
      </c>
      <c r="D39" s="1"/>
      <c r="E39" s="1"/>
      <c r="F39" s="1"/>
      <c r="G39" s="1"/>
      <c r="H39" s="1"/>
      <c r="I39" s="1"/>
      <c r="O39" s="12"/>
      <c r="Q39" s="1" t="s">
        <v>43</v>
      </c>
      <c r="R39" s="1"/>
      <c r="S39" s="1"/>
      <c r="T39" s="1"/>
      <c r="U39" s="1"/>
      <c r="V39" s="1"/>
      <c r="W39" s="1"/>
    </row>
    <row r="40" spans="1:23" x14ac:dyDescent="0.25">
      <c r="A40" s="12"/>
      <c r="O40" s="12"/>
    </row>
    <row r="41" spans="1:23" x14ac:dyDescent="0.25">
      <c r="A41" s="12"/>
      <c r="O41" s="12"/>
    </row>
    <row r="42" spans="1:23" ht="18.75" x14ac:dyDescent="0.25">
      <c r="A42" s="12" t="s">
        <v>11</v>
      </c>
      <c r="C42" s="1"/>
      <c r="D42" s="1" t="s">
        <v>0</v>
      </c>
      <c r="E42" s="1" t="s">
        <v>1</v>
      </c>
      <c r="F42" s="1" t="s">
        <v>2</v>
      </c>
      <c r="G42" s="1" t="s">
        <v>3</v>
      </c>
      <c r="H42" s="1" t="s">
        <v>4</v>
      </c>
      <c r="I42" s="1" t="s">
        <v>5</v>
      </c>
      <c r="O42" s="12" t="s">
        <v>29</v>
      </c>
      <c r="Q42" s="1"/>
      <c r="R42" s="1" t="s">
        <v>0</v>
      </c>
      <c r="S42" s="1" t="s">
        <v>1</v>
      </c>
      <c r="T42" s="1" t="s">
        <v>2</v>
      </c>
      <c r="U42" s="1" t="s">
        <v>3</v>
      </c>
      <c r="V42" s="1" t="s">
        <v>4</v>
      </c>
      <c r="W42" s="1" t="s">
        <v>5</v>
      </c>
    </row>
    <row r="43" spans="1:23" ht="18.75" x14ac:dyDescent="0.25">
      <c r="A43" s="12"/>
      <c r="C43" s="1"/>
      <c r="D43" s="3"/>
      <c r="E43" s="3"/>
      <c r="F43" s="3"/>
      <c r="G43" s="3"/>
      <c r="H43" s="3"/>
      <c r="I43" s="3"/>
      <c r="O43" s="12"/>
      <c r="Q43" s="1"/>
      <c r="R43" s="3"/>
      <c r="S43" s="3"/>
      <c r="T43" s="3"/>
      <c r="U43" s="3"/>
      <c r="V43" s="3"/>
      <c r="W43" s="3"/>
    </row>
    <row r="44" spans="1:23" ht="18.75" x14ac:dyDescent="0.25">
      <c r="A44" s="12"/>
      <c r="C44" s="1"/>
      <c r="D44" s="3"/>
      <c r="E44" s="3"/>
      <c r="F44" s="3"/>
      <c r="G44" s="3"/>
      <c r="H44" s="3"/>
      <c r="I44" s="3"/>
      <c r="O44" s="12"/>
      <c r="Q44" s="1"/>
      <c r="R44" s="3"/>
      <c r="S44" s="3"/>
      <c r="T44" s="3"/>
      <c r="U44" s="3"/>
      <c r="V44" s="3"/>
      <c r="W44" s="3"/>
    </row>
    <row r="45" spans="1:23" ht="18.75" x14ac:dyDescent="0.25">
      <c r="A45" s="12"/>
      <c r="C45" s="1"/>
      <c r="D45" s="3"/>
      <c r="E45" s="3"/>
      <c r="F45" s="3"/>
      <c r="G45" s="3"/>
      <c r="H45" s="3"/>
      <c r="I45" s="3"/>
      <c r="O45" s="12"/>
      <c r="Q45" s="1"/>
      <c r="R45" s="3"/>
      <c r="S45" s="3"/>
      <c r="T45" s="3"/>
      <c r="U45" s="3"/>
      <c r="V45" s="3"/>
      <c r="W45" s="3"/>
    </row>
    <row r="46" spans="1:23" ht="18.75" x14ac:dyDescent="0.25">
      <c r="A46" s="12"/>
      <c r="C46" s="1" t="s">
        <v>43</v>
      </c>
      <c r="D46" s="1"/>
      <c r="E46" s="1"/>
      <c r="F46" s="1"/>
      <c r="G46" s="1"/>
      <c r="H46" s="1"/>
      <c r="I46" s="1"/>
      <c r="O46" s="12"/>
      <c r="Q46" s="1" t="s">
        <v>43</v>
      </c>
      <c r="R46" s="1"/>
      <c r="S46" s="1"/>
      <c r="T46" s="1"/>
      <c r="U46" s="1"/>
      <c r="V46" s="1"/>
      <c r="W46" s="1"/>
    </row>
    <row r="47" spans="1:23" x14ac:dyDescent="0.25">
      <c r="A47" s="12"/>
      <c r="O47" s="12"/>
    </row>
    <row r="48" spans="1:23" x14ac:dyDescent="0.25">
      <c r="A48" s="12"/>
      <c r="O48" s="12"/>
    </row>
    <row r="49" spans="1:23" ht="18.75" x14ac:dyDescent="0.25">
      <c r="A49" s="12" t="s">
        <v>12</v>
      </c>
      <c r="C49" s="1"/>
      <c r="D49" s="1" t="s">
        <v>0</v>
      </c>
      <c r="E49" s="1" t="s">
        <v>1</v>
      </c>
      <c r="F49" s="1" t="s">
        <v>2</v>
      </c>
      <c r="G49" s="1" t="s">
        <v>3</v>
      </c>
      <c r="H49" s="1" t="s">
        <v>4</v>
      </c>
      <c r="I49" s="1" t="s">
        <v>5</v>
      </c>
      <c r="O49" s="12" t="s">
        <v>30</v>
      </c>
      <c r="Q49" s="1"/>
      <c r="R49" s="1" t="s">
        <v>0</v>
      </c>
      <c r="S49" s="1" t="s">
        <v>1</v>
      </c>
      <c r="T49" s="1" t="s">
        <v>2</v>
      </c>
      <c r="U49" s="1" t="s">
        <v>3</v>
      </c>
      <c r="V49" s="1" t="s">
        <v>4</v>
      </c>
      <c r="W49" s="1" t="s">
        <v>5</v>
      </c>
    </row>
    <row r="50" spans="1:23" ht="18.75" x14ac:dyDescent="0.25">
      <c r="A50" s="12"/>
      <c r="C50" s="1"/>
      <c r="D50" s="3"/>
      <c r="E50" s="3"/>
      <c r="F50" s="3"/>
      <c r="G50" s="3"/>
      <c r="H50" s="3"/>
      <c r="I50" s="3"/>
      <c r="O50" s="12"/>
      <c r="Q50" s="1"/>
      <c r="R50" s="3"/>
      <c r="S50" s="3"/>
      <c r="T50" s="3"/>
      <c r="U50" s="3"/>
      <c r="V50" s="3"/>
      <c r="W50" s="3"/>
    </row>
    <row r="51" spans="1:23" ht="18.75" x14ac:dyDescent="0.25">
      <c r="A51" s="12"/>
      <c r="C51" s="1"/>
      <c r="D51" s="3"/>
      <c r="E51" s="3"/>
      <c r="F51" s="3"/>
      <c r="G51" s="3"/>
      <c r="H51" s="3"/>
      <c r="I51" s="3"/>
      <c r="O51" s="12"/>
      <c r="Q51" s="1"/>
      <c r="R51" s="3"/>
      <c r="S51" s="3"/>
      <c r="T51" s="3"/>
      <c r="U51" s="3"/>
      <c r="V51" s="3"/>
      <c r="W51" s="3"/>
    </row>
    <row r="52" spans="1:23" ht="18.75" x14ac:dyDescent="0.25">
      <c r="A52" s="12"/>
      <c r="C52" s="1"/>
      <c r="D52" s="3"/>
      <c r="E52" s="3"/>
      <c r="F52" s="3"/>
      <c r="G52" s="3"/>
      <c r="H52" s="3"/>
      <c r="I52" s="3"/>
      <c r="O52" s="12"/>
      <c r="Q52" s="1"/>
      <c r="R52" s="3"/>
      <c r="S52" s="3"/>
      <c r="T52" s="3"/>
      <c r="U52" s="3"/>
      <c r="V52" s="3"/>
      <c r="W52" s="3"/>
    </row>
    <row r="53" spans="1:23" ht="18.75" x14ac:dyDescent="0.25">
      <c r="A53" s="12"/>
      <c r="C53" s="1" t="s">
        <v>43</v>
      </c>
      <c r="D53" s="1"/>
      <c r="E53" s="1"/>
      <c r="F53" s="1"/>
      <c r="G53" s="1"/>
      <c r="H53" s="1"/>
      <c r="I53" s="1"/>
      <c r="O53" s="12"/>
      <c r="Q53" s="1" t="s">
        <v>43</v>
      </c>
      <c r="R53" s="1"/>
      <c r="S53" s="1"/>
      <c r="T53" s="1"/>
      <c r="U53" s="1"/>
      <c r="V53" s="1"/>
      <c r="W53" s="1"/>
    </row>
    <row r="54" spans="1:23" x14ac:dyDescent="0.25">
      <c r="A54" s="12"/>
      <c r="O54" s="12"/>
    </row>
    <row r="55" spans="1:23" x14ac:dyDescent="0.25">
      <c r="A55" s="12"/>
      <c r="O55" s="12"/>
    </row>
    <row r="56" spans="1:23" ht="18.75" x14ac:dyDescent="0.25">
      <c r="A56" s="12" t="s">
        <v>13</v>
      </c>
      <c r="C56" s="1"/>
      <c r="D56" s="1" t="s">
        <v>0</v>
      </c>
      <c r="E56" s="1" t="s">
        <v>1</v>
      </c>
      <c r="F56" s="1" t="s">
        <v>2</v>
      </c>
      <c r="G56" s="1" t="s">
        <v>3</v>
      </c>
      <c r="H56" s="1" t="s">
        <v>4</v>
      </c>
      <c r="I56" s="1" t="s">
        <v>5</v>
      </c>
      <c r="O56" s="12" t="s">
        <v>31</v>
      </c>
      <c r="Q56" s="1"/>
      <c r="R56" s="1" t="s">
        <v>0</v>
      </c>
      <c r="S56" s="1" t="s">
        <v>1</v>
      </c>
      <c r="T56" s="1" t="s">
        <v>2</v>
      </c>
      <c r="U56" s="1" t="s">
        <v>3</v>
      </c>
      <c r="V56" s="1" t="s">
        <v>4</v>
      </c>
      <c r="W56" s="1" t="s">
        <v>5</v>
      </c>
    </row>
    <row r="57" spans="1:23" ht="18.75" x14ac:dyDescent="0.25">
      <c r="A57" s="12"/>
      <c r="C57" s="1"/>
      <c r="D57" s="3"/>
      <c r="E57" s="3"/>
      <c r="F57" s="3"/>
      <c r="G57" s="3"/>
      <c r="H57" s="3"/>
      <c r="I57" s="3"/>
      <c r="O57" s="12"/>
      <c r="Q57" s="1"/>
      <c r="R57" s="3"/>
      <c r="S57" s="3"/>
      <c r="T57" s="3"/>
      <c r="U57" s="3"/>
      <c r="V57" s="3"/>
      <c r="W57" s="3"/>
    </row>
    <row r="58" spans="1:23" ht="18.75" x14ac:dyDescent="0.25">
      <c r="A58" s="12"/>
      <c r="C58" s="1"/>
      <c r="D58" s="3"/>
      <c r="E58" s="3"/>
      <c r="F58" s="3"/>
      <c r="G58" s="3"/>
      <c r="H58" s="3"/>
      <c r="I58" s="3"/>
      <c r="O58" s="12"/>
      <c r="Q58" s="1"/>
      <c r="R58" s="3"/>
      <c r="S58" s="3"/>
      <c r="T58" s="3"/>
      <c r="U58" s="3"/>
      <c r="V58" s="3"/>
      <c r="W58" s="3"/>
    </row>
    <row r="59" spans="1:23" ht="18.75" x14ac:dyDescent="0.25">
      <c r="A59" s="12"/>
      <c r="C59" s="1"/>
      <c r="D59" s="3"/>
      <c r="E59" s="3"/>
      <c r="F59" s="3"/>
      <c r="G59" s="3"/>
      <c r="H59" s="3"/>
      <c r="I59" s="3"/>
      <c r="O59" s="12"/>
      <c r="Q59" s="1"/>
      <c r="R59" s="3"/>
      <c r="S59" s="3"/>
      <c r="T59" s="3"/>
      <c r="U59" s="3"/>
      <c r="V59" s="3"/>
      <c r="W59" s="3"/>
    </row>
    <row r="60" spans="1:23" ht="18.75" x14ac:dyDescent="0.25">
      <c r="A60" s="12"/>
      <c r="C60" s="1" t="s">
        <v>43</v>
      </c>
      <c r="D60" s="1"/>
      <c r="E60" s="1"/>
      <c r="F60" s="1"/>
      <c r="G60" s="1"/>
      <c r="H60" s="1"/>
      <c r="I60" s="1"/>
      <c r="O60" s="12"/>
      <c r="Q60" s="1" t="s">
        <v>43</v>
      </c>
      <c r="R60" s="1"/>
      <c r="S60" s="1"/>
      <c r="T60" s="1"/>
      <c r="U60" s="1"/>
      <c r="V60" s="1"/>
      <c r="W60" s="1"/>
    </row>
    <row r="61" spans="1:23" x14ac:dyDescent="0.25">
      <c r="A61" s="12"/>
      <c r="O61" s="12"/>
    </row>
    <row r="62" spans="1:23" x14ac:dyDescent="0.25">
      <c r="A62" s="12"/>
      <c r="O62" s="12"/>
    </row>
    <row r="63" spans="1:23" ht="18.75" x14ac:dyDescent="0.25">
      <c r="A63" s="12" t="s">
        <v>14</v>
      </c>
      <c r="C63" s="1"/>
      <c r="D63" s="1" t="s">
        <v>0</v>
      </c>
      <c r="E63" s="1" t="s">
        <v>1</v>
      </c>
      <c r="F63" s="1" t="s">
        <v>2</v>
      </c>
      <c r="G63" s="1" t="s">
        <v>3</v>
      </c>
      <c r="H63" s="1" t="s">
        <v>4</v>
      </c>
      <c r="I63" s="1" t="s">
        <v>5</v>
      </c>
      <c r="O63" s="12" t="s">
        <v>32</v>
      </c>
      <c r="Q63" s="1"/>
      <c r="R63" s="1" t="s">
        <v>0</v>
      </c>
      <c r="S63" s="1" t="s">
        <v>1</v>
      </c>
      <c r="T63" s="1" t="s">
        <v>2</v>
      </c>
      <c r="U63" s="1" t="s">
        <v>3</v>
      </c>
      <c r="V63" s="1" t="s">
        <v>4</v>
      </c>
      <c r="W63" s="1" t="s">
        <v>5</v>
      </c>
    </row>
    <row r="64" spans="1:23" ht="18.75" x14ac:dyDescent="0.25">
      <c r="A64" s="12"/>
      <c r="C64" s="1"/>
      <c r="D64" s="3"/>
      <c r="E64" s="3"/>
      <c r="F64" s="3"/>
      <c r="G64" s="3"/>
      <c r="H64" s="3"/>
      <c r="I64" s="3"/>
      <c r="O64" s="12"/>
      <c r="Q64" s="1"/>
      <c r="R64" s="3"/>
      <c r="S64" s="3"/>
      <c r="T64" s="3"/>
      <c r="U64" s="3"/>
      <c r="V64" s="3"/>
      <c r="W64" s="3"/>
    </row>
    <row r="65" spans="1:23" ht="18.75" x14ac:dyDescent="0.25">
      <c r="A65" s="12"/>
      <c r="C65" s="1"/>
      <c r="D65" s="3"/>
      <c r="E65" s="3"/>
      <c r="F65" s="3"/>
      <c r="G65" s="3"/>
      <c r="H65" s="3"/>
      <c r="I65" s="3"/>
      <c r="O65" s="12"/>
      <c r="Q65" s="1"/>
      <c r="R65" s="3"/>
      <c r="S65" s="3"/>
      <c r="T65" s="3"/>
      <c r="U65" s="3"/>
      <c r="V65" s="3"/>
      <c r="W65" s="3"/>
    </row>
    <row r="66" spans="1:23" ht="18.75" x14ac:dyDescent="0.25">
      <c r="A66" s="12"/>
      <c r="C66" s="1"/>
      <c r="D66" s="3"/>
      <c r="E66" s="3"/>
      <c r="F66" s="3"/>
      <c r="G66" s="3"/>
      <c r="H66" s="3"/>
      <c r="I66" s="3"/>
      <c r="O66" s="12"/>
      <c r="Q66" s="1"/>
      <c r="R66" s="3"/>
      <c r="S66" s="3"/>
      <c r="T66" s="3"/>
      <c r="U66" s="3"/>
      <c r="V66" s="3"/>
      <c r="W66" s="3"/>
    </row>
    <row r="67" spans="1:23" ht="18.75" x14ac:dyDescent="0.25">
      <c r="A67" s="12"/>
      <c r="C67" s="1" t="s">
        <v>43</v>
      </c>
      <c r="D67" s="1"/>
      <c r="E67" s="1"/>
      <c r="F67" s="1"/>
      <c r="G67" s="1"/>
      <c r="H67" s="1"/>
      <c r="I67" s="1"/>
      <c r="O67" s="12"/>
      <c r="Q67" s="1" t="s">
        <v>43</v>
      </c>
      <c r="R67" s="1"/>
      <c r="S67" s="1"/>
      <c r="T67" s="1"/>
      <c r="U67" s="1"/>
      <c r="V67" s="1"/>
      <c r="W67" s="1"/>
    </row>
    <row r="68" spans="1:23" x14ac:dyDescent="0.25">
      <c r="A68" s="12"/>
      <c r="O68" s="12"/>
    </row>
    <row r="69" spans="1:23" x14ac:dyDescent="0.25">
      <c r="A69" s="12"/>
      <c r="O69" s="12"/>
    </row>
    <row r="70" spans="1:23" ht="18.75" x14ac:dyDescent="0.25">
      <c r="A70" s="12"/>
      <c r="C70" s="1"/>
      <c r="D70" s="1" t="s">
        <v>0</v>
      </c>
      <c r="E70" s="1" t="s">
        <v>1</v>
      </c>
      <c r="F70" s="1" t="s">
        <v>2</v>
      </c>
      <c r="G70" s="1" t="s">
        <v>3</v>
      </c>
      <c r="H70" s="1" t="s">
        <v>4</v>
      </c>
      <c r="I70" s="1" t="s">
        <v>5</v>
      </c>
      <c r="O70" s="12" t="s">
        <v>33</v>
      </c>
      <c r="Q70" s="1"/>
      <c r="R70" s="1" t="s">
        <v>0</v>
      </c>
      <c r="S70" s="1" t="s">
        <v>1</v>
      </c>
      <c r="T70" s="1" t="s">
        <v>2</v>
      </c>
      <c r="U70" s="1" t="s">
        <v>3</v>
      </c>
      <c r="V70" s="1" t="s">
        <v>4</v>
      </c>
      <c r="W70" s="1" t="s">
        <v>5</v>
      </c>
    </row>
    <row r="71" spans="1:23" ht="18.75" x14ac:dyDescent="0.25">
      <c r="A71" s="12"/>
      <c r="C71" s="1"/>
      <c r="D71" s="3"/>
      <c r="E71" s="3"/>
      <c r="F71" s="3"/>
      <c r="G71" s="3"/>
      <c r="H71" s="3"/>
      <c r="I71" s="3"/>
      <c r="O71" s="12"/>
      <c r="Q71" s="1"/>
      <c r="R71" s="3"/>
      <c r="S71" s="3"/>
      <c r="T71" s="3"/>
      <c r="U71" s="3"/>
      <c r="V71" s="3"/>
      <c r="W71" s="3"/>
    </row>
    <row r="72" spans="1:23" ht="18.75" x14ac:dyDescent="0.25">
      <c r="A72" s="12"/>
      <c r="C72" s="1"/>
      <c r="D72" s="3"/>
      <c r="E72" s="3"/>
      <c r="F72" s="3"/>
      <c r="G72" s="3"/>
      <c r="H72" s="3"/>
      <c r="I72" s="3"/>
      <c r="O72" s="12"/>
      <c r="Q72" s="1"/>
      <c r="R72" s="3"/>
      <c r="S72" s="3"/>
      <c r="T72" s="3"/>
      <c r="U72" s="3"/>
      <c r="V72" s="3"/>
      <c r="W72" s="3"/>
    </row>
    <row r="73" spans="1:23" ht="18.75" x14ac:dyDescent="0.25">
      <c r="A73" s="12"/>
      <c r="C73" s="1"/>
      <c r="D73" s="3"/>
      <c r="E73" s="3"/>
      <c r="F73" s="3"/>
      <c r="G73" s="3"/>
      <c r="H73" s="3"/>
      <c r="I73" s="3"/>
      <c r="O73" s="12"/>
      <c r="Q73" s="1"/>
      <c r="R73" s="3"/>
      <c r="S73" s="3"/>
      <c r="T73" s="3"/>
      <c r="U73" s="3"/>
      <c r="V73" s="3"/>
      <c r="W73" s="3"/>
    </row>
    <row r="74" spans="1:23" ht="18.75" x14ac:dyDescent="0.25">
      <c r="A74" s="12"/>
      <c r="C74" s="1" t="s">
        <v>43</v>
      </c>
      <c r="D74" s="1"/>
      <c r="E74" s="1"/>
      <c r="F74" s="1"/>
      <c r="G74" s="1"/>
      <c r="H74" s="1"/>
      <c r="I74" s="1"/>
      <c r="O74" s="12"/>
      <c r="Q74" s="1" t="s">
        <v>43</v>
      </c>
      <c r="R74" s="1"/>
      <c r="S74" s="1"/>
      <c r="T74" s="1"/>
      <c r="U74" s="1"/>
      <c r="V74" s="1"/>
      <c r="W74" s="1"/>
    </row>
    <row r="75" spans="1:23" x14ac:dyDescent="0.25">
      <c r="A75" s="12"/>
      <c r="O75" s="12"/>
    </row>
    <row r="76" spans="1:23" x14ac:dyDescent="0.25">
      <c r="A76" s="12"/>
      <c r="O76" s="12"/>
    </row>
    <row r="77" spans="1:23" ht="18.75" x14ac:dyDescent="0.25">
      <c r="A77" s="12" t="s">
        <v>15</v>
      </c>
      <c r="C77" s="1"/>
      <c r="D77" s="1" t="s">
        <v>0</v>
      </c>
      <c r="E77" s="1" t="s">
        <v>1</v>
      </c>
      <c r="F77" s="1" t="s">
        <v>2</v>
      </c>
      <c r="G77" s="1" t="s">
        <v>3</v>
      </c>
      <c r="H77" s="1" t="s">
        <v>4</v>
      </c>
      <c r="I77" s="1" t="s">
        <v>5</v>
      </c>
      <c r="O77" s="12" t="s">
        <v>34</v>
      </c>
      <c r="Q77" s="1"/>
      <c r="R77" s="1" t="s">
        <v>0</v>
      </c>
      <c r="S77" s="1" t="s">
        <v>1</v>
      </c>
      <c r="T77" s="1" t="s">
        <v>2</v>
      </c>
      <c r="U77" s="1" t="s">
        <v>3</v>
      </c>
      <c r="V77" s="1" t="s">
        <v>4</v>
      </c>
      <c r="W77" s="1" t="s">
        <v>5</v>
      </c>
    </row>
    <row r="78" spans="1:23" ht="18.75" x14ac:dyDescent="0.25">
      <c r="A78" s="12"/>
      <c r="C78" s="1"/>
      <c r="D78" s="3"/>
      <c r="E78" s="3"/>
      <c r="F78" s="3"/>
      <c r="G78" s="3"/>
      <c r="H78" s="3"/>
      <c r="I78" s="3"/>
      <c r="O78" s="12"/>
      <c r="Q78" s="1"/>
      <c r="R78" s="3"/>
      <c r="S78" s="3"/>
      <c r="T78" s="3"/>
      <c r="U78" s="3"/>
      <c r="V78" s="3"/>
      <c r="W78" s="3"/>
    </row>
    <row r="79" spans="1:23" ht="18.75" x14ac:dyDescent="0.25">
      <c r="A79" s="12"/>
      <c r="C79" s="1"/>
      <c r="D79" s="3"/>
      <c r="E79" s="3"/>
      <c r="F79" s="3"/>
      <c r="G79" s="3"/>
      <c r="H79" s="3"/>
      <c r="I79" s="3"/>
      <c r="O79" s="12"/>
      <c r="Q79" s="1"/>
      <c r="R79" s="3"/>
      <c r="S79" s="3"/>
      <c r="T79" s="3"/>
      <c r="U79" s="3"/>
      <c r="V79" s="3"/>
      <c r="W79" s="3"/>
    </row>
    <row r="80" spans="1:23" ht="18.75" x14ac:dyDescent="0.25">
      <c r="A80" s="12"/>
      <c r="C80" s="1"/>
      <c r="D80" s="3"/>
      <c r="E80" s="3"/>
      <c r="F80" s="3"/>
      <c r="G80" s="3"/>
      <c r="H80" s="3"/>
      <c r="I80" s="3"/>
      <c r="O80" s="12"/>
      <c r="Q80" s="1"/>
      <c r="R80" s="3"/>
      <c r="S80" s="3"/>
      <c r="T80" s="3"/>
      <c r="U80" s="3"/>
      <c r="V80" s="3"/>
      <c r="W80" s="3"/>
    </row>
    <row r="81" spans="1:23" ht="18.75" x14ac:dyDescent="0.25">
      <c r="A81" s="12"/>
      <c r="C81" s="1" t="s">
        <v>43</v>
      </c>
      <c r="D81" s="1"/>
      <c r="E81" s="1"/>
      <c r="F81" s="1"/>
      <c r="G81" s="1"/>
      <c r="H81" s="1"/>
      <c r="I81" s="1"/>
      <c r="O81" s="12"/>
      <c r="Q81" s="1" t="s">
        <v>43</v>
      </c>
      <c r="R81" s="1"/>
      <c r="S81" s="1"/>
      <c r="T81" s="1"/>
      <c r="U81" s="1"/>
      <c r="V81" s="1"/>
      <c r="W81" s="1"/>
    </row>
    <row r="82" spans="1:23" x14ac:dyDescent="0.25">
      <c r="A82" s="12"/>
      <c r="O82" s="12"/>
    </row>
    <row r="83" spans="1:23" x14ac:dyDescent="0.25">
      <c r="A83" s="12"/>
      <c r="O83" s="12"/>
    </row>
    <row r="84" spans="1:23" ht="18.75" x14ac:dyDescent="0.25">
      <c r="A84" s="12" t="s">
        <v>16</v>
      </c>
      <c r="C84" s="1"/>
      <c r="D84" s="1" t="s">
        <v>0</v>
      </c>
      <c r="E84" s="1" t="s">
        <v>1</v>
      </c>
      <c r="F84" s="1" t="s">
        <v>2</v>
      </c>
      <c r="G84" s="1" t="s">
        <v>3</v>
      </c>
      <c r="H84" s="1" t="s">
        <v>4</v>
      </c>
      <c r="I84" s="1" t="s">
        <v>5</v>
      </c>
      <c r="O84" s="12" t="s">
        <v>35</v>
      </c>
      <c r="Q84" s="1"/>
      <c r="R84" s="1" t="s">
        <v>0</v>
      </c>
      <c r="S84" s="1" t="s">
        <v>1</v>
      </c>
      <c r="T84" s="1" t="s">
        <v>2</v>
      </c>
      <c r="U84" s="1" t="s">
        <v>3</v>
      </c>
      <c r="V84" s="1" t="s">
        <v>4</v>
      </c>
      <c r="W84" s="1" t="s">
        <v>5</v>
      </c>
    </row>
    <row r="85" spans="1:23" ht="18.75" x14ac:dyDescent="0.25">
      <c r="A85" s="12"/>
      <c r="C85" s="1"/>
      <c r="D85" s="3"/>
      <c r="E85" s="3"/>
      <c r="F85" s="3"/>
      <c r="G85" s="3"/>
      <c r="H85" s="3"/>
      <c r="I85" s="3"/>
      <c r="O85" s="12"/>
      <c r="Q85" s="1"/>
      <c r="R85" s="3"/>
      <c r="S85" s="3"/>
      <c r="T85" s="3"/>
      <c r="U85" s="3"/>
      <c r="V85" s="3"/>
      <c r="W85" s="3"/>
    </row>
    <row r="86" spans="1:23" ht="18.75" x14ac:dyDescent="0.25">
      <c r="A86" s="12"/>
      <c r="C86" s="1"/>
      <c r="D86" s="3"/>
      <c r="E86" s="3"/>
      <c r="F86" s="3"/>
      <c r="G86" s="3"/>
      <c r="H86" s="3"/>
      <c r="I86" s="3"/>
      <c r="O86" s="12"/>
      <c r="Q86" s="1"/>
      <c r="R86" s="3"/>
      <c r="S86" s="3"/>
      <c r="T86" s="3"/>
      <c r="U86" s="3"/>
      <c r="V86" s="3"/>
      <c r="W86" s="3"/>
    </row>
    <row r="87" spans="1:23" ht="18.75" x14ac:dyDescent="0.25">
      <c r="A87" s="12"/>
      <c r="C87" s="1"/>
      <c r="D87" s="3"/>
      <c r="E87" s="3"/>
      <c r="F87" s="3"/>
      <c r="G87" s="3"/>
      <c r="H87" s="3"/>
      <c r="I87" s="3"/>
      <c r="O87" s="12"/>
      <c r="Q87" s="1"/>
      <c r="R87" s="3"/>
      <c r="S87" s="3"/>
      <c r="T87" s="3"/>
      <c r="U87" s="3"/>
      <c r="V87" s="3"/>
      <c r="W87" s="3"/>
    </row>
    <row r="88" spans="1:23" ht="18.75" x14ac:dyDescent="0.25">
      <c r="A88" s="12"/>
      <c r="C88" s="1" t="s">
        <v>43</v>
      </c>
      <c r="D88" s="1"/>
      <c r="E88" s="1"/>
      <c r="F88" s="1"/>
      <c r="G88" s="1"/>
      <c r="H88" s="1"/>
      <c r="I88" s="1"/>
      <c r="O88" s="12"/>
      <c r="Q88" s="1" t="s">
        <v>43</v>
      </c>
      <c r="R88" s="1"/>
      <c r="S88" s="1"/>
      <c r="T88" s="1"/>
      <c r="U88" s="1"/>
      <c r="V88" s="1"/>
      <c r="W88" s="1"/>
    </row>
    <row r="89" spans="1:23" x14ac:dyDescent="0.25">
      <c r="A89" s="12"/>
      <c r="O89" s="12"/>
    </row>
    <row r="90" spans="1:23" x14ac:dyDescent="0.25">
      <c r="A90" s="12"/>
      <c r="O90" s="12"/>
    </row>
    <row r="91" spans="1:23" ht="18.75" x14ac:dyDescent="0.25">
      <c r="A91" s="12" t="s">
        <v>17</v>
      </c>
      <c r="C91" s="1"/>
      <c r="D91" s="1" t="s">
        <v>0</v>
      </c>
      <c r="E91" s="1" t="s">
        <v>1</v>
      </c>
      <c r="F91" s="1" t="s">
        <v>2</v>
      </c>
      <c r="G91" s="1" t="s">
        <v>3</v>
      </c>
      <c r="H91" s="1" t="s">
        <v>4</v>
      </c>
      <c r="I91" s="1" t="s">
        <v>5</v>
      </c>
      <c r="O91" s="12" t="s">
        <v>36</v>
      </c>
      <c r="Q91" s="1"/>
      <c r="R91" s="1" t="s">
        <v>0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</row>
    <row r="92" spans="1:23" ht="18.75" x14ac:dyDescent="0.25">
      <c r="A92" s="12"/>
      <c r="C92" s="1"/>
      <c r="D92" s="3"/>
      <c r="E92" s="3"/>
      <c r="F92" s="3"/>
      <c r="G92" s="3"/>
      <c r="H92" s="3"/>
      <c r="I92" s="3"/>
      <c r="O92" s="12"/>
      <c r="Q92" s="1"/>
      <c r="R92" s="3"/>
      <c r="S92" s="3"/>
      <c r="T92" s="3"/>
      <c r="U92" s="3"/>
      <c r="V92" s="3"/>
      <c r="W92" s="3"/>
    </row>
    <row r="93" spans="1:23" ht="18.75" x14ac:dyDescent="0.25">
      <c r="A93" s="12"/>
      <c r="C93" s="1"/>
      <c r="D93" s="3"/>
      <c r="E93" s="3"/>
      <c r="F93" s="3"/>
      <c r="G93" s="3"/>
      <c r="H93" s="3"/>
      <c r="I93" s="3"/>
      <c r="O93" s="12"/>
      <c r="Q93" s="1"/>
      <c r="R93" s="3"/>
      <c r="S93" s="3"/>
      <c r="T93" s="3"/>
      <c r="U93" s="3"/>
      <c r="V93" s="3"/>
      <c r="W93" s="3"/>
    </row>
    <row r="94" spans="1:23" ht="18.75" x14ac:dyDescent="0.25">
      <c r="A94" s="12"/>
      <c r="C94" s="1"/>
      <c r="D94" s="3"/>
      <c r="E94" s="3"/>
      <c r="F94" s="3"/>
      <c r="G94" s="3"/>
      <c r="H94" s="3"/>
      <c r="I94" s="3"/>
      <c r="O94" s="12"/>
      <c r="Q94" s="1"/>
      <c r="R94" s="3"/>
      <c r="S94" s="3"/>
      <c r="T94" s="3"/>
      <c r="U94" s="3"/>
      <c r="V94" s="3"/>
      <c r="W94" s="3"/>
    </row>
    <row r="95" spans="1:23" ht="18.75" x14ac:dyDescent="0.25">
      <c r="A95" s="12"/>
      <c r="C95" s="1" t="s">
        <v>43</v>
      </c>
      <c r="D95" s="1"/>
      <c r="E95" s="1"/>
      <c r="F95" s="1"/>
      <c r="G95" s="1"/>
      <c r="H95" s="1"/>
      <c r="I95" s="1"/>
      <c r="O95" s="12"/>
      <c r="Q95" s="1" t="s">
        <v>43</v>
      </c>
      <c r="R95" s="1"/>
      <c r="S95" s="1"/>
      <c r="T95" s="1"/>
      <c r="U95" s="1"/>
      <c r="V95" s="1"/>
      <c r="W95" s="1"/>
    </row>
    <row r="96" spans="1:23" x14ac:dyDescent="0.25">
      <c r="A96" s="12"/>
      <c r="O96" s="12"/>
    </row>
    <row r="97" spans="1:23" x14ac:dyDescent="0.25">
      <c r="A97" s="12"/>
      <c r="O97" s="12"/>
    </row>
    <row r="98" spans="1:23" ht="18.75" x14ac:dyDescent="0.25">
      <c r="A98" s="12" t="s">
        <v>18</v>
      </c>
      <c r="C98" s="1"/>
      <c r="D98" s="1" t="s">
        <v>0</v>
      </c>
      <c r="E98" s="1" t="s">
        <v>1</v>
      </c>
      <c r="F98" s="1" t="s">
        <v>2</v>
      </c>
      <c r="G98" s="1" t="s">
        <v>3</v>
      </c>
      <c r="H98" s="1" t="s">
        <v>4</v>
      </c>
      <c r="I98" s="1" t="s">
        <v>5</v>
      </c>
      <c r="O98" s="12" t="s">
        <v>37</v>
      </c>
      <c r="Q98" s="1"/>
      <c r="R98" s="1" t="s">
        <v>0</v>
      </c>
      <c r="S98" s="1" t="s">
        <v>1</v>
      </c>
      <c r="T98" s="1" t="s">
        <v>2</v>
      </c>
      <c r="U98" s="1" t="s">
        <v>3</v>
      </c>
      <c r="V98" s="1" t="s">
        <v>4</v>
      </c>
      <c r="W98" s="1" t="s">
        <v>5</v>
      </c>
    </row>
    <row r="99" spans="1:23" ht="18.75" x14ac:dyDescent="0.25">
      <c r="A99" s="12"/>
      <c r="C99" s="1"/>
      <c r="D99" s="3"/>
      <c r="E99" s="3"/>
      <c r="F99" s="3"/>
      <c r="G99" s="3"/>
      <c r="H99" s="3"/>
      <c r="I99" s="3"/>
      <c r="O99" s="12"/>
      <c r="Q99" s="1"/>
      <c r="R99" s="3"/>
      <c r="S99" s="3"/>
      <c r="T99" s="3"/>
      <c r="U99" s="3"/>
      <c r="V99" s="3"/>
      <c r="W99" s="3"/>
    </row>
    <row r="100" spans="1:23" ht="18.75" x14ac:dyDescent="0.25">
      <c r="A100" s="12"/>
      <c r="C100" s="1"/>
      <c r="D100" s="3"/>
      <c r="E100" s="3"/>
      <c r="F100" s="3"/>
      <c r="G100" s="3"/>
      <c r="H100" s="3"/>
      <c r="I100" s="3"/>
      <c r="O100" s="12"/>
      <c r="Q100" s="1"/>
      <c r="R100" s="3"/>
      <c r="S100" s="3"/>
      <c r="T100" s="3"/>
      <c r="U100" s="3"/>
      <c r="V100" s="3"/>
      <c r="W100" s="3"/>
    </row>
    <row r="101" spans="1:23" ht="18.75" x14ac:dyDescent="0.25">
      <c r="A101" s="12"/>
      <c r="C101" s="1"/>
      <c r="D101" s="3"/>
      <c r="E101" s="3"/>
      <c r="F101" s="3"/>
      <c r="G101" s="3"/>
      <c r="H101" s="3"/>
      <c r="I101" s="3"/>
      <c r="O101" s="12"/>
      <c r="Q101" s="1"/>
      <c r="R101" s="3"/>
      <c r="S101" s="3"/>
      <c r="T101" s="3"/>
      <c r="U101" s="3"/>
      <c r="V101" s="3"/>
      <c r="W101" s="3"/>
    </row>
    <row r="102" spans="1:23" ht="18.75" x14ac:dyDescent="0.25">
      <c r="A102" s="12"/>
      <c r="C102" s="1" t="s">
        <v>43</v>
      </c>
      <c r="D102" s="1"/>
      <c r="E102" s="1"/>
      <c r="F102" s="1"/>
      <c r="G102" s="1"/>
      <c r="H102" s="1"/>
      <c r="I102" s="1"/>
      <c r="O102" s="12"/>
      <c r="Q102" s="1" t="s">
        <v>43</v>
      </c>
      <c r="R102" s="1"/>
      <c r="S102" s="1"/>
      <c r="T102" s="1"/>
      <c r="U102" s="1"/>
      <c r="V102" s="1"/>
      <c r="W102" s="1"/>
    </row>
    <row r="103" spans="1:23" x14ac:dyDescent="0.25">
      <c r="A103" s="12"/>
      <c r="O103" s="12"/>
    </row>
    <row r="104" spans="1:23" x14ac:dyDescent="0.25">
      <c r="A104" s="12"/>
      <c r="O104" s="12"/>
    </row>
    <row r="105" spans="1:23" ht="18.75" x14ac:dyDescent="0.25">
      <c r="A105" s="12" t="s">
        <v>19</v>
      </c>
      <c r="C105" s="1"/>
      <c r="D105" s="1" t="s">
        <v>0</v>
      </c>
      <c r="E105" s="1" t="s">
        <v>1</v>
      </c>
      <c r="F105" s="1" t="s">
        <v>2</v>
      </c>
      <c r="G105" s="1" t="s">
        <v>3</v>
      </c>
      <c r="H105" s="1" t="s">
        <v>4</v>
      </c>
      <c r="I105" s="1" t="s">
        <v>5</v>
      </c>
      <c r="O105" s="12" t="s">
        <v>38</v>
      </c>
      <c r="Q105" s="1"/>
      <c r="R105" s="1" t="s">
        <v>0</v>
      </c>
      <c r="S105" s="1" t="s">
        <v>1</v>
      </c>
      <c r="T105" s="1" t="s">
        <v>2</v>
      </c>
      <c r="U105" s="1" t="s">
        <v>3</v>
      </c>
      <c r="V105" s="1" t="s">
        <v>4</v>
      </c>
      <c r="W105" s="1" t="s">
        <v>5</v>
      </c>
    </row>
    <row r="106" spans="1:23" ht="18.75" x14ac:dyDescent="0.25">
      <c r="A106" s="12"/>
      <c r="C106" s="1"/>
      <c r="D106" s="3"/>
      <c r="E106" s="3"/>
      <c r="F106" s="3"/>
      <c r="G106" s="3"/>
      <c r="H106" s="3"/>
      <c r="I106" s="3"/>
      <c r="O106" s="12"/>
      <c r="Q106" s="1"/>
      <c r="R106" s="3"/>
      <c r="S106" s="3"/>
      <c r="T106" s="3"/>
      <c r="U106" s="3"/>
      <c r="V106" s="3"/>
      <c r="W106" s="3"/>
    </row>
    <row r="107" spans="1:23" ht="18.75" x14ac:dyDescent="0.25">
      <c r="A107" s="12"/>
      <c r="C107" s="1"/>
      <c r="D107" s="3"/>
      <c r="E107" s="3"/>
      <c r="F107" s="3"/>
      <c r="G107" s="3"/>
      <c r="H107" s="3"/>
      <c r="I107" s="3"/>
      <c r="O107" s="12"/>
      <c r="Q107" s="1"/>
      <c r="R107" s="3"/>
      <c r="S107" s="3"/>
      <c r="T107" s="3"/>
      <c r="U107" s="3"/>
      <c r="V107" s="3"/>
      <c r="W107" s="3"/>
    </row>
    <row r="108" spans="1:23" ht="18.75" x14ac:dyDescent="0.25">
      <c r="A108" s="12"/>
      <c r="C108" s="1"/>
      <c r="D108" s="3"/>
      <c r="E108" s="3"/>
      <c r="F108" s="3"/>
      <c r="G108" s="3"/>
      <c r="H108" s="3"/>
      <c r="I108" s="3"/>
      <c r="O108" s="12"/>
      <c r="Q108" s="1"/>
      <c r="R108" s="3"/>
      <c r="S108" s="3"/>
      <c r="T108" s="3"/>
      <c r="U108" s="3"/>
      <c r="V108" s="3"/>
      <c r="W108" s="3"/>
    </row>
    <row r="109" spans="1:23" ht="18.75" x14ac:dyDescent="0.25">
      <c r="A109" s="12"/>
      <c r="C109" s="1" t="s">
        <v>43</v>
      </c>
      <c r="D109" s="1"/>
      <c r="E109" s="1"/>
      <c r="F109" s="1"/>
      <c r="G109" s="1"/>
      <c r="H109" s="1"/>
      <c r="I109" s="1"/>
      <c r="O109" s="12"/>
      <c r="Q109" s="1" t="s">
        <v>43</v>
      </c>
      <c r="R109" s="1"/>
      <c r="S109" s="1"/>
      <c r="T109" s="1"/>
      <c r="U109" s="1"/>
      <c r="V109" s="1"/>
      <c r="W109" s="1"/>
    </row>
    <row r="110" spans="1:23" x14ac:dyDescent="0.25">
      <c r="A110" s="12"/>
      <c r="O110" s="12"/>
    </row>
    <row r="111" spans="1:23" x14ac:dyDescent="0.25">
      <c r="A111" s="12"/>
      <c r="O111" s="12"/>
    </row>
    <row r="112" spans="1:23" ht="18.75" x14ac:dyDescent="0.25">
      <c r="A112" s="12" t="s">
        <v>20</v>
      </c>
      <c r="C112" s="1"/>
      <c r="D112" s="1" t="s">
        <v>0</v>
      </c>
      <c r="E112" s="1" t="s">
        <v>1</v>
      </c>
      <c r="F112" s="1" t="s">
        <v>2</v>
      </c>
      <c r="G112" s="1" t="s">
        <v>3</v>
      </c>
      <c r="H112" s="1" t="s">
        <v>4</v>
      </c>
      <c r="I112" s="1" t="s">
        <v>5</v>
      </c>
      <c r="O112" s="12" t="s">
        <v>39</v>
      </c>
      <c r="Q112" s="1"/>
      <c r="R112" s="1" t="s">
        <v>0</v>
      </c>
      <c r="S112" s="1" t="s">
        <v>1</v>
      </c>
      <c r="T112" s="1" t="s">
        <v>2</v>
      </c>
      <c r="U112" s="1" t="s">
        <v>3</v>
      </c>
      <c r="V112" s="1" t="s">
        <v>4</v>
      </c>
      <c r="W112" s="1" t="s">
        <v>5</v>
      </c>
    </row>
    <row r="113" spans="1:23" ht="18.75" x14ac:dyDescent="0.25">
      <c r="A113" s="12"/>
      <c r="C113" s="1"/>
      <c r="D113" s="3"/>
      <c r="E113" s="3"/>
      <c r="F113" s="3"/>
      <c r="G113" s="3"/>
      <c r="H113" s="3"/>
      <c r="I113" s="3"/>
      <c r="O113" s="12"/>
      <c r="Q113" s="1"/>
      <c r="R113" s="3"/>
      <c r="S113" s="3"/>
      <c r="T113" s="3"/>
      <c r="U113" s="3"/>
      <c r="V113" s="3"/>
      <c r="W113" s="3"/>
    </row>
    <row r="114" spans="1:23" ht="18.75" x14ac:dyDescent="0.25">
      <c r="A114" s="12"/>
      <c r="C114" s="1"/>
      <c r="D114" s="3"/>
      <c r="E114" s="3"/>
      <c r="F114" s="3"/>
      <c r="G114" s="3"/>
      <c r="H114" s="3"/>
      <c r="I114" s="3"/>
      <c r="O114" s="12"/>
      <c r="Q114" s="1"/>
      <c r="R114" s="3"/>
      <c r="S114" s="3"/>
      <c r="T114" s="3"/>
      <c r="U114" s="3"/>
      <c r="V114" s="3"/>
      <c r="W114" s="3"/>
    </row>
    <row r="115" spans="1:23" ht="18.75" x14ac:dyDescent="0.25">
      <c r="A115" s="12"/>
      <c r="C115" s="1"/>
      <c r="D115" s="3"/>
      <c r="E115" s="3"/>
      <c r="F115" s="3"/>
      <c r="G115" s="3"/>
      <c r="H115" s="3"/>
      <c r="I115" s="3"/>
      <c r="O115" s="12"/>
      <c r="Q115" s="1"/>
      <c r="R115" s="3"/>
      <c r="S115" s="3"/>
      <c r="T115" s="3"/>
      <c r="U115" s="3"/>
      <c r="V115" s="3"/>
      <c r="W115" s="3"/>
    </row>
    <row r="116" spans="1:23" ht="18.75" x14ac:dyDescent="0.25">
      <c r="A116" s="12"/>
      <c r="C116" s="1" t="s">
        <v>43</v>
      </c>
      <c r="D116" s="1"/>
      <c r="E116" s="1"/>
      <c r="F116" s="1"/>
      <c r="G116" s="1"/>
      <c r="H116" s="1"/>
      <c r="I116" s="1"/>
      <c r="O116" s="12"/>
      <c r="Q116" s="1" t="s">
        <v>43</v>
      </c>
      <c r="R116" s="1"/>
      <c r="S116" s="1"/>
      <c r="T116" s="1"/>
      <c r="U116" s="1"/>
      <c r="V116" s="1"/>
      <c r="W116" s="1"/>
    </row>
    <row r="117" spans="1:23" x14ac:dyDescent="0.25">
      <c r="A117" s="12"/>
      <c r="O117" s="12"/>
    </row>
    <row r="118" spans="1:23" x14ac:dyDescent="0.25">
      <c r="A118" s="12"/>
      <c r="O118" s="12"/>
    </row>
    <row r="119" spans="1:23" ht="18.75" x14ac:dyDescent="0.25">
      <c r="A119" s="12" t="s">
        <v>21</v>
      </c>
      <c r="C119" s="1"/>
      <c r="D119" s="1" t="s">
        <v>0</v>
      </c>
      <c r="E119" s="1" t="s">
        <v>1</v>
      </c>
      <c r="F119" s="1" t="s">
        <v>2</v>
      </c>
      <c r="G119" s="1" t="s">
        <v>3</v>
      </c>
      <c r="H119" s="1" t="s">
        <v>4</v>
      </c>
      <c r="I119" s="1" t="s">
        <v>5</v>
      </c>
      <c r="O119" s="12" t="s">
        <v>40</v>
      </c>
      <c r="Q119" s="1"/>
      <c r="R119" s="1" t="s">
        <v>0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</row>
    <row r="120" spans="1:23" ht="18.75" x14ac:dyDescent="0.25">
      <c r="A120" s="12"/>
      <c r="C120" s="1"/>
      <c r="D120" s="3"/>
      <c r="E120" s="3"/>
      <c r="F120" s="3"/>
      <c r="G120" s="3"/>
      <c r="H120" s="3"/>
      <c r="I120" s="3"/>
      <c r="O120" s="12"/>
      <c r="Q120" s="1"/>
      <c r="R120" s="3"/>
      <c r="S120" s="3"/>
      <c r="T120" s="3"/>
      <c r="U120" s="3"/>
      <c r="V120" s="3"/>
      <c r="W120" s="3"/>
    </row>
    <row r="121" spans="1:23" ht="18.75" x14ac:dyDescent="0.25">
      <c r="A121" s="12"/>
      <c r="C121" s="1"/>
      <c r="D121" s="3"/>
      <c r="E121" s="3"/>
      <c r="F121" s="3"/>
      <c r="G121" s="3"/>
      <c r="H121" s="3"/>
      <c r="I121" s="3"/>
      <c r="O121" s="12"/>
      <c r="Q121" s="1"/>
      <c r="R121" s="3"/>
      <c r="S121" s="3"/>
      <c r="T121" s="3"/>
      <c r="U121" s="3"/>
      <c r="V121" s="3"/>
      <c r="W121" s="3"/>
    </row>
    <row r="122" spans="1:23" ht="18.75" x14ac:dyDescent="0.25">
      <c r="A122" s="12"/>
      <c r="C122" s="1"/>
      <c r="D122" s="3"/>
      <c r="E122" s="3"/>
      <c r="F122" s="3"/>
      <c r="G122" s="3"/>
      <c r="H122" s="3"/>
      <c r="I122" s="3"/>
      <c r="O122" s="12"/>
      <c r="Q122" s="1"/>
      <c r="R122" s="3"/>
      <c r="S122" s="3"/>
      <c r="T122" s="3"/>
      <c r="U122" s="3"/>
      <c r="V122" s="3"/>
      <c r="W122" s="3"/>
    </row>
    <row r="123" spans="1:23" ht="18.75" x14ac:dyDescent="0.25">
      <c r="A123" s="12"/>
      <c r="C123" s="1" t="s">
        <v>43</v>
      </c>
      <c r="D123" s="1"/>
      <c r="E123" s="1"/>
      <c r="F123" s="1"/>
      <c r="G123" s="1"/>
      <c r="H123" s="1"/>
      <c r="I123" s="1"/>
      <c r="O123" s="12"/>
      <c r="Q123" s="1" t="s">
        <v>43</v>
      </c>
      <c r="R123" s="1"/>
      <c r="S123" s="1"/>
      <c r="T123" s="1"/>
      <c r="U123" s="1"/>
      <c r="V123" s="1"/>
      <c r="W123" s="1"/>
    </row>
    <row r="124" spans="1:23" x14ac:dyDescent="0.25">
      <c r="A124" s="12"/>
      <c r="O124" s="12"/>
    </row>
    <row r="125" spans="1:23" x14ac:dyDescent="0.25">
      <c r="A125" s="12"/>
      <c r="O125" s="12"/>
    </row>
    <row r="126" spans="1:23" ht="18.75" x14ac:dyDescent="0.25">
      <c r="A126" s="12" t="s">
        <v>22</v>
      </c>
      <c r="C126" s="1"/>
      <c r="D126" s="1" t="s">
        <v>0</v>
      </c>
      <c r="E126" s="1" t="s">
        <v>1</v>
      </c>
      <c r="F126" s="1" t="s">
        <v>2</v>
      </c>
      <c r="G126" s="1" t="s">
        <v>3</v>
      </c>
      <c r="H126" s="1" t="s">
        <v>4</v>
      </c>
      <c r="I126" s="1" t="s">
        <v>5</v>
      </c>
      <c r="O126" s="12" t="s">
        <v>41</v>
      </c>
      <c r="Q126" s="1"/>
      <c r="R126" s="1" t="s">
        <v>0</v>
      </c>
      <c r="S126" s="1" t="s">
        <v>1</v>
      </c>
      <c r="T126" s="1" t="s">
        <v>2</v>
      </c>
      <c r="U126" s="1" t="s">
        <v>3</v>
      </c>
      <c r="V126" s="1" t="s">
        <v>4</v>
      </c>
      <c r="W126" s="1" t="s">
        <v>5</v>
      </c>
    </row>
    <row r="127" spans="1:23" ht="18.75" x14ac:dyDescent="0.25">
      <c r="A127" s="12"/>
      <c r="C127" s="1"/>
      <c r="D127" s="3"/>
      <c r="E127" s="3"/>
      <c r="F127" s="3"/>
      <c r="G127" s="3"/>
      <c r="H127" s="3"/>
      <c r="I127" s="3"/>
      <c r="O127" s="12"/>
      <c r="Q127" s="1"/>
      <c r="R127" s="3"/>
      <c r="S127" s="3"/>
      <c r="T127" s="3"/>
      <c r="U127" s="3"/>
      <c r="V127" s="3"/>
      <c r="W127" s="3"/>
    </row>
    <row r="128" spans="1:23" ht="18.75" x14ac:dyDescent="0.25">
      <c r="A128" s="12"/>
      <c r="C128" s="1"/>
      <c r="D128" s="3"/>
      <c r="E128" s="3"/>
      <c r="F128" s="3"/>
      <c r="G128" s="3"/>
      <c r="H128" s="3"/>
      <c r="I128" s="3"/>
      <c r="O128" s="12"/>
      <c r="Q128" s="1"/>
      <c r="R128" s="3"/>
      <c r="S128" s="3"/>
      <c r="T128" s="3"/>
      <c r="U128" s="3"/>
      <c r="V128" s="3"/>
      <c r="W128" s="3"/>
    </row>
    <row r="129" spans="1:23" ht="18.75" x14ac:dyDescent="0.25">
      <c r="A129" s="12"/>
      <c r="C129" s="1"/>
      <c r="D129" s="3"/>
      <c r="E129" s="3"/>
      <c r="F129" s="3"/>
      <c r="G129" s="3"/>
      <c r="H129" s="3"/>
      <c r="I129" s="3"/>
      <c r="O129" s="12"/>
      <c r="Q129" s="1"/>
      <c r="R129" s="3"/>
      <c r="S129" s="3"/>
      <c r="T129" s="3"/>
      <c r="U129" s="3"/>
      <c r="V129" s="3"/>
      <c r="W129" s="3"/>
    </row>
    <row r="130" spans="1:23" ht="18.75" x14ac:dyDescent="0.25">
      <c r="A130" s="12"/>
      <c r="C130" s="1" t="s">
        <v>43</v>
      </c>
      <c r="D130" s="1"/>
      <c r="E130" s="1"/>
      <c r="F130" s="1"/>
      <c r="G130" s="1"/>
      <c r="H130" s="1"/>
      <c r="I130" s="1"/>
      <c r="O130" s="12"/>
      <c r="Q130" s="1" t="s">
        <v>43</v>
      </c>
      <c r="R130" s="1"/>
      <c r="S130" s="1"/>
      <c r="T130" s="1"/>
      <c r="U130" s="1"/>
      <c r="V130" s="1"/>
      <c r="W130" s="1"/>
    </row>
    <row r="131" spans="1:23" x14ac:dyDescent="0.25">
      <c r="A131" s="12"/>
      <c r="O131" s="12"/>
    </row>
    <row r="132" spans="1:23" x14ac:dyDescent="0.25">
      <c r="A132" s="12"/>
      <c r="O132" s="12"/>
    </row>
    <row r="133" spans="1:23" ht="18.75" x14ac:dyDescent="0.25">
      <c r="A133" s="12" t="s">
        <v>23</v>
      </c>
      <c r="C133" s="1"/>
      <c r="D133" s="1" t="s">
        <v>0</v>
      </c>
      <c r="E133" s="1" t="s">
        <v>1</v>
      </c>
      <c r="F133" s="1" t="s">
        <v>2</v>
      </c>
      <c r="G133" s="1" t="s">
        <v>3</v>
      </c>
      <c r="H133" s="1" t="s">
        <v>4</v>
      </c>
      <c r="I133" s="1" t="s">
        <v>5</v>
      </c>
      <c r="O133" s="12" t="s">
        <v>42</v>
      </c>
      <c r="Q133" s="1"/>
      <c r="R133" s="1" t="s">
        <v>0</v>
      </c>
      <c r="S133" s="1" t="s">
        <v>1</v>
      </c>
      <c r="T133" s="1" t="s">
        <v>2</v>
      </c>
      <c r="U133" s="1" t="s">
        <v>3</v>
      </c>
      <c r="V133" s="1" t="s">
        <v>4</v>
      </c>
      <c r="W133" s="1" t="s">
        <v>5</v>
      </c>
    </row>
    <row r="134" spans="1:23" ht="18.75" x14ac:dyDescent="0.25">
      <c r="C134" s="1"/>
      <c r="D134" s="3"/>
      <c r="E134" s="3"/>
      <c r="F134" s="3"/>
      <c r="G134" s="3"/>
      <c r="H134" s="3"/>
      <c r="I134" s="3"/>
      <c r="Q134" s="1"/>
      <c r="R134" s="3"/>
      <c r="S134" s="3"/>
      <c r="T134" s="3"/>
      <c r="U134" s="3"/>
      <c r="V134" s="3"/>
      <c r="W134" s="3"/>
    </row>
    <row r="135" spans="1:23" ht="18.75" x14ac:dyDescent="0.25">
      <c r="C135" s="1"/>
      <c r="D135" s="3"/>
      <c r="E135" s="3"/>
      <c r="F135" s="3"/>
      <c r="G135" s="3"/>
      <c r="H135" s="3"/>
      <c r="I135" s="3"/>
      <c r="Q135" s="1"/>
      <c r="R135" s="3"/>
      <c r="S135" s="3"/>
      <c r="T135" s="3"/>
      <c r="U135" s="3"/>
      <c r="V135" s="3"/>
      <c r="W135" s="3"/>
    </row>
    <row r="136" spans="1:23" ht="18.75" x14ac:dyDescent="0.25">
      <c r="C136" s="1"/>
      <c r="D136" s="3"/>
      <c r="E136" s="3"/>
      <c r="F136" s="3"/>
      <c r="G136" s="3"/>
      <c r="H136" s="3"/>
      <c r="I136" s="3"/>
      <c r="Q136" s="1"/>
      <c r="R136" s="3"/>
      <c r="S136" s="3"/>
      <c r="T136" s="3"/>
      <c r="U136" s="3"/>
      <c r="V136" s="3"/>
      <c r="W136" s="3"/>
    </row>
    <row r="137" spans="1:23" ht="18.75" x14ac:dyDescent="0.25">
      <c r="C137" s="1" t="s">
        <v>43</v>
      </c>
      <c r="D137" s="1"/>
      <c r="E137" s="1"/>
      <c r="F137" s="1"/>
      <c r="G137" s="1"/>
      <c r="H137" s="1"/>
      <c r="I137" s="1"/>
      <c r="Q137" s="1" t="s">
        <v>43</v>
      </c>
      <c r="R137" s="1"/>
      <c r="S137" s="1"/>
      <c r="T137" s="1"/>
      <c r="U137" s="1"/>
      <c r="V137" s="1"/>
      <c r="W137" s="1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65EF48-BCAF-4213-BD28-63E1F3BAB6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 Board</vt:lpstr>
      <vt:lpstr>Sheet2</vt:lpstr>
      <vt:lpstr>Leaderboard</vt:lpstr>
      <vt:lpstr>Extra Results</vt:lpstr>
      <vt:lpstr>PredictionsOLD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Consumer Rights Solicitors</dc:creator>
  <cp:lastModifiedBy>Sam Leech</cp:lastModifiedBy>
  <dcterms:created xsi:type="dcterms:W3CDTF">2024-08-27T06:58:46Z</dcterms:created>
  <dcterms:modified xsi:type="dcterms:W3CDTF">2025-08-11T08:20:06Z</dcterms:modified>
</cp:coreProperties>
</file>